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economicdata2022-2022" sheetId="1" r:id="rId1"/>
  </sheets>
  <calcPr calcId="152511"/>
</workbook>
</file>

<file path=xl/calcChain.xml><?xml version="1.0" encoding="utf-8"?>
<calcChain xmlns="http://schemas.openxmlformats.org/spreadsheetml/2006/main">
  <c r="Y1" i="1" l="1"/>
  <c r="L2" i="1" l="1"/>
  <c r="L12" i="1"/>
  <c r="L20" i="1"/>
  <c r="L28" i="1"/>
  <c r="L36" i="1"/>
  <c r="L44" i="1"/>
  <c r="L52" i="1"/>
  <c r="L60" i="1"/>
  <c r="L68" i="1"/>
  <c r="L76" i="1"/>
  <c r="L84" i="1"/>
  <c r="L92" i="1"/>
  <c r="L100" i="1"/>
  <c r="L108" i="1"/>
  <c r="L116" i="1"/>
  <c r="L124" i="1"/>
  <c r="L132" i="1"/>
  <c r="L6" i="1"/>
  <c r="L13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7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8" i="1"/>
  <c r="L15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9" i="1"/>
  <c r="L16" i="1"/>
  <c r="L24" i="1"/>
  <c r="L32" i="1"/>
  <c r="L40" i="1"/>
  <c r="L48" i="1"/>
  <c r="L56" i="1"/>
  <c r="L64" i="1"/>
  <c r="L72" i="1"/>
  <c r="L80" i="1"/>
  <c r="L88" i="1"/>
  <c r="L96" i="1"/>
  <c r="L104" i="1"/>
  <c r="L112" i="1"/>
  <c r="L120" i="1"/>
  <c r="L128" i="1"/>
  <c r="L136" i="1"/>
  <c r="L10" i="1"/>
  <c r="L59" i="1"/>
  <c r="L5" i="1"/>
  <c r="L75" i="1"/>
  <c r="L34" i="1"/>
  <c r="L74" i="1"/>
  <c r="L131" i="1"/>
  <c r="L123" i="1"/>
  <c r="L41" i="1"/>
  <c r="L98" i="1"/>
  <c r="L115" i="1"/>
  <c r="L33" i="1"/>
  <c r="L91" i="1"/>
  <c r="L50" i="1"/>
  <c r="L90" i="1"/>
  <c r="L25" i="1"/>
  <c r="L105" i="1"/>
  <c r="L18" i="1"/>
  <c r="L121" i="1"/>
  <c r="L57" i="1"/>
  <c r="L4" i="1"/>
  <c r="L97" i="1"/>
  <c r="L51" i="1"/>
  <c r="L3" i="1"/>
  <c r="L114" i="1"/>
  <c r="L73" i="1"/>
  <c r="L27" i="1"/>
  <c r="L113" i="1"/>
  <c r="L67" i="1"/>
  <c r="L49" i="1"/>
  <c r="L26" i="1"/>
  <c r="L130" i="1"/>
  <c r="L107" i="1"/>
  <c r="L89" i="1"/>
  <c r="L66" i="1"/>
  <c r="L43" i="1"/>
  <c r="L129" i="1"/>
  <c r="L106" i="1"/>
  <c r="L83" i="1"/>
  <c r="L65" i="1"/>
  <c r="L42" i="1"/>
  <c r="L19" i="1"/>
  <c r="L82" i="1"/>
  <c r="L11" i="1"/>
  <c r="L122" i="1"/>
  <c r="L99" i="1"/>
  <c r="L81" i="1"/>
  <c r="L58" i="1"/>
  <c r="L35" i="1"/>
  <c r="L17" i="1"/>
</calcChain>
</file>

<file path=xl/sharedStrings.xml><?xml version="1.0" encoding="utf-8"?>
<sst xmlns="http://schemas.openxmlformats.org/spreadsheetml/2006/main" count="281" uniqueCount="281">
  <si>
    <t>Year</t>
  </si>
  <si>
    <t>ISO_Code</t>
  </si>
  <si>
    <t>Countries</t>
  </si>
  <si>
    <t xml:space="preserve"> Economic Freedom Summary Index</t>
  </si>
  <si>
    <t>Rank</t>
  </si>
  <si>
    <t>Quartile</t>
  </si>
  <si>
    <t>Size of Government</t>
  </si>
  <si>
    <t>Legal System &amp; Property Rights -- With Gender Adjustment</t>
  </si>
  <si>
    <t>Sound Money</t>
  </si>
  <si>
    <t>Freedom to trade internationally</t>
  </si>
  <si>
    <t>Regulation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</si>
  <si>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</si>
  <si>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</si>
  <si>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</si>
  <si>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</si>
  <si>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</si>
  <si>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</si>
  <si>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</si>
  <si>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</si>
  <si>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</si>
  <si>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</si>
  <si>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</si>
  <si>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</si>
  <si>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</si>
  <si>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</si>
  <si>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</si>
  <si>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</si>
  <si>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</si>
  <si>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</si>
  <si>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</si>
  <si>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</si>
  <si>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</si>
  <si>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</si>
  <si>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</si>
  <si>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</si>
  <si>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</si>
  <si>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</si>
  <si>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</si>
  <si>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</si>
  <si>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</si>
  <si>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</si>
  <si>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</si>
  <si>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</si>
  <si>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</si>
  <si>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</si>
  <si>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</si>
  <si>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</si>
  <si>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</si>
  <si>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</si>
  <si>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</si>
  <si>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</si>
  <si>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BTN</t>
  </si>
  <si>
    <t>Bhutan</t>
  </si>
  <si>
    <t>BWA</t>
  </si>
  <si>
    <t>Botswana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</si>
  <si>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</si>
  <si>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</si>
  <si>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</si>
  <si>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</si>
  <si>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</si>
  <si>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</si>
  <si>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</si>
  <si>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</si>
  <si>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</si>
  <si>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</si>
  <si>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</si>
  <si>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</si>
  <si>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</si>
  <si>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</si>
  <si>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</si>
  <si>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</si>
  <si>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</si>
  <si>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</si>
  <si>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</si>
  <si>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</si>
  <si>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</si>
  <si>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</si>
  <si>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</si>
  <si>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</si>
  <si>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</si>
  <si>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</si>
  <si>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</si>
  <si>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</si>
  <si>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</si>
  <si>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</si>
  <si>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</si>
  <si>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</si>
  <si>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</si>
  <si>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</si>
  <si>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</si>
  <si>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</si>
  <si>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</si>
  <si>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</si>
  <si>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</si>
  <si>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</si>
  <si>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</si>
  <si>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</si>
  <si>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</si>
  <si>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</si>
  <si>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</si>
  <si>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</si>
  <si>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</si>
  <si>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</si>
  <si>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</si>
  <si>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</si>
  <si>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</si>
  <si>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</si>
  <si>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</si>
  <si>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</si>
  <si>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</si>
  <si>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</si>
  <si>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</si>
  <si>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</si>
  <si>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GRC</t>
  </si>
  <si>
    <t>Greece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</si>
  <si>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</si>
  <si>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</si>
  <si>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</si>
  <si>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</si>
  <si>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</si>
  <si>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</si>
  <si>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</si>
  <si>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</si>
  <si>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</si>
  <si>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</si>
  <si>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</si>
  <si>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</si>
  <si>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</si>
  <si>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</si>
  <si>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</si>
  <si>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</si>
  <si>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</si>
  <si>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</si>
  <si>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</si>
  <si>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</si>
  <si>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</si>
  <si>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</si>
  <si>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</si>
  <si>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</si>
  <si>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</si>
  <si>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</si>
  <si>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</si>
  <si>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</si>
  <si>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</si>
  <si>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</si>
  <si>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</si>
  <si>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</si>
  <si>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</si>
  <si>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</si>
  <si>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</si>
  <si>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</si>
  <si>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</si>
  <si>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</si>
  <si>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</si>
  <si>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</si>
  <si>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</si>
  <si>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</si>
  <si>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</si>
  <si>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</si>
  <si>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</si>
  <si>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</si>
  <si>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</si>
  <si>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</si>
  <si>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LBY</t>
  </si>
  <si>
    <t>Libya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</si>
  <si>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</si>
  <si>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</si>
  <si>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</si>
  <si>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</si>
  <si>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</si>
  <si>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</si>
  <si>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</si>
  <si>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</si>
  <si>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</si>
  <si>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</si>
  <si>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</si>
  <si>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</si>
  <si>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</si>
  <si>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</si>
  <si>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</si>
  <si>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</si>
  <si>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</si>
  <si>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</si>
  <si>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</si>
  <si>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</si>
  <si>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</si>
  <si>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</si>
  <si>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</si>
  <si>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</si>
  <si>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</si>
  <si>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</si>
  <si>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</si>
  <si>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</si>
  <si>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</si>
  <si>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</si>
  <si>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</si>
  <si>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</si>
  <si>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</si>
  <si>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</si>
  <si>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</si>
  <si>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</si>
  <si>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</si>
  <si>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</si>
  <si>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</si>
  <si>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</si>
  <si>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</si>
  <si>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</si>
  <si>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</si>
  <si>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</si>
  <si>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</si>
  <si>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</si>
  <si>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</si>
  <si>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</si>
  <si>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</si>
  <si>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</si>
  <si>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</si>
  <si>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</si>
  <si>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</si>
  <si>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</si>
  <si>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</si>
  <si>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</si>
  <si>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</si>
  <si>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</si>
  <si>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</si>
  <si>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</si>
  <si>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</si>
  <si>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</si>
  <si>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PRY</t>
  </si>
  <si>
    <t>Paraguay</t>
  </si>
  <si>
    <t>ROU</t>
  </si>
  <si>
    <t>Romania</t>
  </si>
  <si>
    <t>RWA</t>
  </si>
  <si>
    <t>Rwanda</t>
  </si>
  <si>
    <t>SAU</t>
  </si>
  <si>
    <t>Saudi Arabia</t>
  </si>
  <si>
    <t>SEN</t>
  </si>
  <si>
    <t>Senegal</t>
  </si>
  <si>
    <t>SGP</t>
  </si>
  <si>
    <t>Singapore</t>
  </si>
  <si>
    <t>SLV</t>
  </si>
  <si>
    <t>El Salvador</t>
  </si>
  <si>
    <t>SRB</t>
  </si>
  <si>
    <t>Serbia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</si>
  <si>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</si>
  <si>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</si>
  <si>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</si>
  <si>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</si>
  <si>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</si>
  <si>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</si>
  <si>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</si>
  <si>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</si>
  <si>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SYC</t>
  </si>
  <si>
    <t>Seychelles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</si>
  <si>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</si>
  <si>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</si>
  <si>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</si>
  <si>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</si>
  <si>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</si>
  <si>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</si>
  <si>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</si>
  <si>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</si>
  <si>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TTO</t>
  </si>
  <si>
    <t>Trinidad and Tobago</t>
  </si>
  <si>
    <t>TUN</t>
  </si>
  <si>
    <t>Tunisia</t>
  </si>
  <si>
    <t>TUR</t>
  </si>
  <si>
    <t>Türkiye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</si>
  <si>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</si>
  <si>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</si>
  <si>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</si>
  <si>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</si>
  <si>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</si>
  <si>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</si>
  <si>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</si>
  <si>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</si>
  <si>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VNM</t>
  </si>
  <si>
    <t>Vietnam</t>
  </si>
  <si>
    <t>ZAF</t>
  </si>
  <si>
    <t>South Africa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</si>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</sst>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6"/>
  <sheetViews>
    <sheetView tabSelected="1" topLeftCell="D1" workbookViewId="0">
      <selection activeCell="L1" sqref="L1"/>
    </sheetView>
  </sheetViews>
  <sheetFormatPr defaultRowHeight="14.4" x14ac:dyDescent="0.3"/>
  <cols>
    <col min="3" max="3" width="20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Y1">
        <f>MEDIAN(D2:D136)</f>
        <v>6.77</v>
      </c>
    </row>
    <row r="2" spans="1:25" x14ac:dyDescent="0.3">
      <c r="A2">
        <v>2022</v>
      </c>
      <c r="B2" t="s">
        <v>13</v>
      </c>
      <c r="C2" t="s">
        <v>14</v>
      </c>
      <c r="D2">
        <v>7.48</v>
      </c>
      <c r="E2">
        <v>35</v>
      </c>
      <c r="F2">
        <v>1</v>
      </c>
      <c r="G2">
        <v>7.63</v>
      </c>
      <c r="H2">
        <v>5.58</v>
      </c>
      <c r="I2">
        <v>8.76</v>
      </c>
      <c r="J2">
        <v>8.5299999999999994</v>
      </c>
      <c r="K2">
        <v>6.9</v>
      </c>
      <c r="L2">
        <f>IF(D2&gt;$Y$1,1,0)</f>
        <v>1</v>
      </c>
    </row>
    <row r="3" spans="1:25" x14ac:dyDescent="0.3">
      <c r="A3">
        <v>2022</v>
      </c>
      <c r="B3" t="s">
        <v>85</v>
      </c>
      <c r="C3" t="s">
        <v>86</v>
      </c>
      <c r="D3">
        <v>4.34</v>
      </c>
      <c r="E3">
        <v>161</v>
      </c>
      <c r="F3">
        <v>4</v>
      </c>
      <c r="G3">
        <v>4.32</v>
      </c>
      <c r="H3">
        <v>3.77</v>
      </c>
      <c r="I3">
        <v>6.37</v>
      </c>
      <c r="J3">
        <v>3.14</v>
      </c>
      <c r="K3">
        <v>4.0999999999999996</v>
      </c>
      <c r="L3">
        <f t="shared" ref="L3:L66" si="0">IF(D3&gt;$Y$1,1,0)</f>
        <v>0</v>
      </c>
    </row>
    <row r="4" spans="1:25" x14ac:dyDescent="0.3">
      <c r="A4">
        <v>2022</v>
      </c>
      <c r="B4" t="s">
        <v>11</v>
      </c>
      <c r="C4" t="s">
        <v>12</v>
      </c>
      <c r="D4">
        <v>4.5</v>
      </c>
      <c r="E4">
        <v>158</v>
      </c>
      <c r="F4">
        <v>4</v>
      </c>
      <c r="G4">
        <v>7.26</v>
      </c>
      <c r="H4">
        <v>3.53</v>
      </c>
      <c r="I4">
        <v>3.75</v>
      </c>
      <c r="J4">
        <v>2.97</v>
      </c>
      <c r="K4">
        <v>5</v>
      </c>
      <c r="L4">
        <f t="shared" si="0"/>
        <v>0</v>
      </c>
    </row>
    <row r="5" spans="1:25" x14ac:dyDescent="0.3">
      <c r="A5">
        <v>2022</v>
      </c>
      <c r="B5" t="s">
        <v>17</v>
      </c>
      <c r="C5" t="s">
        <v>18</v>
      </c>
      <c r="D5">
        <v>4.67</v>
      </c>
      <c r="E5">
        <v>157</v>
      </c>
      <c r="F5">
        <v>4</v>
      </c>
      <c r="G5">
        <v>6.19</v>
      </c>
      <c r="H5">
        <v>5.41</v>
      </c>
      <c r="I5">
        <v>2.5499999999999998</v>
      </c>
      <c r="J5">
        <v>4.2</v>
      </c>
      <c r="K5">
        <v>5</v>
      </c>
      <c r="L5">
        <f t="shared" si="0"/>
        <v>0</v>
      </c>
    </row>
    <row r="6" spans="1:25" x14ac:dyDescent="0.3">
      <c r="A6">
        <v>2022</v>
      </c>
      <c r="B6" t="s">
        <v>19</v>
      </c>
      <c r="C6" t="s">
        <v>20</v>
      </c>
      <c r="D6">
        <v>7.32</v>
      </c>
      <c r="E6">
        <v>47</v>
      </c>
      <c r="F6">
        <v>2</v>
      </c>
      <c r="G6">
        <v>8.01</v>
      </c>
      <c r="H6">
        <v>5.64</v>
      </c>
      <c r="I6">
        <v>8.4700000000000006</v>
      </c>
      <c r="J6">
        <v>8.08</v>
      </c>
      <c r="K6">
        <v>6.39</v>
      </c>
      <c r="L6">
        <f t="shared" si="0"/>
        <v>1</v>
      </c>
    </row>
    <row r="7" spans="1:25" x14ac:dyDescent="0.3">
      <c r="A7">
        <v>2022</v>
      </c>
      <c r="B7" t="s">
        <v>21</v>
      </c>
      <c r="C7" t="s">
        <v>22</v>
      </c>
      <c r="D7">
        <v>7.99</v>
      </c>
      <c r="E7">
        <v>7</v>
      </c>
      <c r="F7">
        <v>1</v>
      </c>
      <c r="G7">
        <v>6.12</v>
      </c>
      <c r="H7">
        <v>8.69</v>
      </c>
      <c r="I7">
        <v>8.8000000000000007</v>
      </c>
      <c r="J7">
        <v>8.1300000000000008</v>
      </c>
      <c r="K7">
        <v>8.24</v>
      </c>
      <c r="L7">
        <f t="shared" si="0"/>
        <v>1</v>
      </c>
    </row>
    <row r="8" spans="1:25" x14ac:dyDescent="0.3">
      <c r="A8">
        <v>2022</v>
      </c>
      <c r="B8" t="s">
        <v>23</v>
      </c>
      <c r="C8" t="s">
        <v>24</v>
      </c>
      <c r="D8">
        <v>7.52</v>
      </c>
      <c r="E8">
        <v>31</v>
      </c>
      <c r="F8">
        <v>1</v>
      </c>
      <c r="G8">
        <v>5.21</v>
      </c>
      <c r="H8">
        <v>8.49</v>
      </c>
      <c r="I8">
        <v>8.44</v>
      </c>
      <c r="J8">
        <v>8.67</v>
      </c>
      <c r="K8">
        <v>6.81</v>
      </c>
      <c r="L8">
        <f t="shared" si="0"/>
        <v>1</v>
      </c>
    </row>
    <row r="9" spans="1:25" x14ac:dyDescent="0.3">
      <c r="A9">
        <v>2022</v>
      </c>
      <c r="B9" t="s">
        <v>25</v>
      </c>
      <c r="C9" t="s">
        <v>26</v>
      </c>
      <c r="D9">
        <v>5.6</v>
      </c>
      <c r="E9">
        <v>135</v>
      </c>
      <c r="F9">
        <v>4</v>
      </c>
      <c r="G9">
        <v>4.63</v>
      </c>
      <c r="H9">
        <v>4.41</v>
      </c>
      <c r="I9">
        <v>6.25</v>
      </c>
      <c r="J9">
        <v>7.19</v>
      </c>
      <c r="K9">
        <v>5.51</v>
      </c>
      <c r="L9">
        <f t="shared" si="0"/>
        <v>0</v>
      </c>
    </row>
    <row r="10" spans="1:25" x14ac:dyDescent="0.3">
      <c r="A10">
        <v>2022</v>
      </c>
      <c r="B10" t="s">
        <v>39</v>
      </c>
      <c r="C10" t="s">
        <v>40</v>
      </c>
      <c r="D10">
        <v>6.8</v>
      </c>
      <c r="E10">
        <v>71</v>
      </c>
      <c r="F10">
        <v>2</v>
      </c>
      <c r="G10">
        <v>8.67</v>
      </c>
      <c r="H10">
        <v>6.19</v>
      </c>
      <c r="I10">
        <v>6.08</v>
      </c>
      <c r="J10">
        <v>5.69</v>
      </c>
      <c r="K10">
        <v>7.35</v>
      </c>
      <c r="L10">
        <f t="shared" si="0"/>
        <v>1</v>
      </c>
    </row>
    <row r="11" spans="1:25" x14ac:dyDescent="0.3">
      <c r="A11">
        <v>2022</v>
      </c>
      <c r="B11" t="s">
        <v>37</v>
      </c>
      <c r="C11" t="s">
        <v>38</v>
      </c>
      <c r="D11">
        <v>7.36</v>
      </c>
      <c r="E11">
        <v>44</v>
      </c>
      <c r="F11">
        <v>2</v>
      </c>
      <c r="G11">
        <v>7.3</v>
      </c>
      <c r="H11">
        <v>4.6399999999999997</v>
      </c>
      <c r="I11">
        <v>8.8699999999999992</v>
      </c>
      <c r="J11">
        <v>8.35</v>
      </c>
      <c r="K11">
        <v>7.63</v>
      </c>
      <c r="L11">
        <f t="shared" si="0"/>
        <v>1</v>
      </c>
    </row>
    <row r="12" spans="1:25" x14ac:dyDescent="0.3">
      <c r="A12">
        <v>2022</v>
      </c>
      <c r="B12" t="s">
        <v>33</v>
      </c>
      <c r="C12" t="s">
        <v>34</v>
      </c>
      <c r="D12">
        <v>5.91</v>
      </c>
      <c r="E12">
        <v>122</v>
      </c>
      <c r="F12">
        <v>3</v>
      </c>
      <c r="G12">
        <v>8.27</v>
      </c>
      <c r="H12">
        <v>3.44</v>
      </c>
      <c r="I12">
        <v>6.47</v>
      </c>
      <c r="J12">
        <v>5.94</v>
      </c>
      <c r="K12">
        <v>5.43</v>
      </c>
      <c r="L12">
        <f t="shared" si="0"/>
        <v>0</v>
      </c>
    </row>
    <row r="13" spans="1:25" x14ac:dyDescent="0.3">
      <c r="A13">
        <v>2022</v>
      </c>
      <c r="B13" t="s">
        <v>49</v>
      </c>
      <c r="C13" t="s">
        <v>50</v>
      </c>
      <c r="D13">
        <v>6.86</v>
      </c>
      <c r="E13">
        <v>70</v>
      </c>
      <c r="F13">
        <v>2</v>
      </c>
      <c r="G13">
        <v>7.32</v>
      </c>
      <c r="H13">
        <v>6.12</v>
      </c>
      <c r="I13">
        <v>7.9</v>
      </c>
      <c r="J13">
        <v>6.74</v>
      </c>
      <c r="K13">
        <v>6.2</v>
      </c>
      <c r="L13">
        <f t="shared" si="0"/>
        <v>1</v>
      </c>
    </row>
    <row r="14" spans="1:25" x14ac:dyDescent="0.3">
      <c r="A14">
        <v>2022</v>
      </c>
      <c r="B14" t="s">
        <v>27</v>
      </c>
      <c r="C14" t="s">
        <v>28</v>
      </c>
      <c r="D14">
        <v>7.45</v>
      </c>
      <c r="E14">
        <v>38</v>
      </c>
      <c r="F14">
        <v>1</v>
      </c>
      <c r="G14">
        <v>4.5999999999999996</v>
      </c>
      <c r="H14">
        <v>7.98</v>
      </c>
      <c r="I14">
        <v>8.66</v>
      </c>
      <c r="J14">
        <v>8.84</v>
      </c>
      <c r="K14">
        <v>7.18</v>
      </c>
      <c r="L14">
        <f t="shared" si="0"/>
        <v>1</v>
      </c>
    </row>
    <row r="15" spans="1:25" x14ac:dyDescent="0.3">
      <c r="A15">
        <v>2022</v>
      </c>
      <c r="B15" t="s">
        <v>43</v>
      </c>
      <c r="C15" t="s">
        <v>44</v>
      </c>
      <c r="D15">
        <v>5.96</v>
      </c>
      <c r="E15">
        <v>119</v>
      </c>
      <c r="F15">
        <v>3</v>
      </c>
      <c r="G15">
        <v>6.26</v>
      </c>
      <c r="H15">
        <v>3.85</v>
      </c>
      <c r="I15">
        <v>6.17</v>
      </c>
      <c r="J15">
        <v>6.57</v>
      </c>
      <c r="K15">
        <v>6.98</v>
      </c>
      <c r="L15">
        <f t="shared" si="0"/>
        <v>0</v>
      </c>
    </row>
    <row r="16" spans="1:25" x14ac:dyDescent="0.3">
      <c r="A16">
        <v>2022</v>
      </c>
      <c r="B16" t="s">
        <v>29</v>
      </c>
      <c r="C16" t="s">
        <v>30</v>
      </c>
      <c r="D16">
        <v>6.25</v>
      </c>
      <c r="E16">
        <v>101</v>
      </c>
      <c r="F16">
        <v>3</v>
      </c>
      <c r="G16">
        <v>7.62</v>
      </c>
      <c r="H16">
        <v>4.3</v>
      </c>
      <c r="I16">
        <v>6.83</v>
      </c>
      <c r="J16">
        <v>6.07</v>
      </c>
      <c r="K16">
        <v>6.45</v>
      </c>
      <c r="L16">
        <f t="shared" si="0"/>
        <v>0</v>
      </c>
    </row>
    <row r="17" spans="1:12" x14ac:dyDescent="0.3">
      <c r="A17">
        <v>2022</v>
      </c>
      <c r="B17" t="s">
        <v>51</v>
      </c>
      <c r="C17" t="s">
        <v>52</v>
      </c>
      <c r="D17">
        <v>6.77</v>
      </c>
      <c r="E17">
        <v>73</v>
      </c>
      <c r="F17">
        <v>2</v>
      </c>
      <c r="G17">
        <v>6.84</v>
      </c>
      <c r="H17">
        <v>6.83</v>
      </c>
      <c r="I17">
        <v>6.26</v>
      </c>
      <c r="J17">
        <v>6.84</v>
      </c>
      <c r="K17">
        <v>7.07</v>
      </c>
      <c r="L17">
        <f t="shared" si="0"/>
        <v>0</v>
      </c>
    </row>
    <row r="18" spans="1:12" x14ac:dyDescent="0.3">
      <c r="A18">
        <v>2022</v>
      </c>
      <c r="B18" t="s">
        <v>45</v>
      </c>
      <c r="C18" t="s">
        <v>46</v>
      </c>
      <c r="D18">
        <v>6.13</v>
      </c>
      <c r="E18">
        <v>106</v>
      </c>
      <c r="F18">
        <v>3</v>
      </c>
      <c r="G18">
        <v>5.93</v>
      </c>
      <c r="H18">
        <v>4.1399999999999997</v>
      </c>
      <c r="I18">
        <v>9.42</v>
      </c>
      <c r="J18">
        <v>6.45</v>
      </c>
      <c r="K18">
        <v>4.68</v>
      </c>
      <c r="L18">
        <f t="shared" si="0"/>
        <v>0</v>
      </c>
    </row>
    <row r="19" spans="1:12" x14ac:dyDescent="0.3">
      <c r="A19">
        <v>2022</v>
      </c>
      <c r="B19" t="s">
        <v>41</v>
      </c>
      <c r="C19" t="s">
        <v>42</v>
      </c>
      <c r="D19">
        <v>6.2</v>
      </c>
      <c r="E19">
        <v>103</v>
      </c>
      <c r="F19">
        <v>3</v>
      </c>
      <c r="G19">
        <v>6.76</v>
      </c>
      <c r="H19">
        <v>4.58</v>
      </c>
      <c r="I19">
        <v>5.37</v>
      </c>
      <c r="J19">
        <v>7.68</v>
      </c>
      <c r="K19">
        <v>6.62</v>
      </c>
      <c r="L19">
        <f t="shared" si="0"/>
        <v>0</v>
      </c>
    </row>
    <row r="20" spans="1:12" x14ac:dyDescent="0.3">
      <c r="A20">
        <v>2022</v>
      </c>
      <c r="B20" t="s">
        <v>53</v>
      </c>
      <c r="C20" t="s">
        <v>54</v>
      </c>
      <c r="D20">
        <v>6.73</v>
      </c>
      <c r="E20">
        <v>78</v>
      </c>
      <c r="F20">
        <v>2</v>
      </c>
      <c r="G20">
        <v>6.39</v>
      </c>
      <c r="H20">
        <v>6.08</v>
      </c>
      <c r="I20">
        <v>8.07</v>
      </c>
      <c r="J20">
        <v>7.24</v>
      </c>
      <c r="K20">
        <v>5.83</v>
      </c>
      <c r="L20">
        <f t="shared" si="0"/>
        <v>0</v>
      </c>
    </row>
    <row r="21" spans="1:12" x14ac:dyDescent="0.3">
      <c r="A21">
        <v>2022</v>
      </c>
      <c r="B21" t="s">
        <v>47</v>
      </c>
      <c r="C21" t="s">
        <v>48</v>
      </c>
      <c r="D21">
        <v>6.46</v>
      </c>
      <c r="E21">
        <v>88</v>
      </c>
      <c r="F21">
        <v>3</v>
      </c>
      <c r="G21">
        <v>6.41</v>
      </c>
      <c r="H21">
        <v>4.9800000000000004</v>
      </c>
      <c r="I21">
        <v>8.17</v>
      </c>
      <c r="J21">
        <v>7.38</v>
      </c>
      <c r="K21">
        <v>5.36</v>
      </c>
      <c r="L21">
        <f t="shared" si="0"/>
        <v>0</v>
      </c>
    </row>
    <row r="22" spans="1:12" x14ac:dyDescent="0.3">
      <c r="A22">
        <v>2022</v>
      </c>
      <c r="B22" t="s">
        <v>35</v>
      </c>
      <c r="C22" t="s">
        <v>36</v>
      </c>
      <c r="D22">
        <v>6.97</v>
      </c>
      <c r="E22">
        <v>64</v>
      </c>
      <c r="F22">
        <v>2</v>
      </c>
      <c r="G22">
        <v>6.94</v>
      </c>
      <c r="H22">
        <v>5.59</v>
      </c>
      <c r="I22">
        <v>7.56</v>
      </c>
      <c r="J22">
        <v>8.39</v>
      </c>
      <c r="K22">
        <v>6.35</v>
      </c>
      <c r="L22">
        <f t="shared" si="0"/>
        <v>1</v>
      </c>
    </row>
    <row r="23" spans="1:12" x14ac:dyDescent="0.3">
      <c r="A23">
        <v>2022</v>
      </c>
      <c r="B23" t="s">
        <v>31</v>
      </c>
      <c r="C23" t="s">
        <v>32</v>
      </c>
      <c r="D23">
        <v>5.99</v>
      </c>
      <c r="E23">
        <v>116</v>
      </c>
      <c r="F23">
        <v>3</v>
      </c>
      <c r="G23">
        <v>7.02</v>
      </c>
      <c r="H23">
        <v>4.34</v>
      </c>
      <c r="I23">
        <v>5.41</v>
      </c>
      <c r="J23">
        <v>6.65</v>
      </c>
      <c r="K23">
        <v>6.54</v>
      </c>
      <c r="L23">
        <f t="shared" si="0"/>
        <v>0</v>
      </c>
    </row>
    <row r="24" spans="1:12" x14ac:dyDescent="0.3">
      <c r="A24">
        <v>2022</v>
      </c>
      <c r="B24" t="s">
        <v>69</v>
      </c>
      <c r="C24" t="s">
        <v>70</v>
      </c>
      <c r="D24">
        <v>7.3</v>
      </c>
      <c r="E24">
        <v>49</v>
      </c>
      <c r="F24">
        <v>2</v>
      </c>
      <c r="G24">
        <v>7.39</v>
      </c>
      <c r="H24">
        <v>6.21</v>
      </c>
      <c r="I24">
        <v>8.81</v>
      </c>
      <c r="J24">
        <v>7.61</v>
      </c>
      <c r="K24">
        <v>6.51</v>
      </c>
      <c r="L24">
        <f t="shared" si="0"/>
        <v>1</v>
      </c>
    </row>
    <row r="25" spans="1:12" x14ac:dyDescent="0.3">
      <c r="A25">
        <v>2022</v>
      </c>
      <c r="B25" t="s">
        <v>153</v>
      </c>
      <c r="C25" t="s">
        <v>154</v>
      </c>
      <c r="D25">
        <v>6.69</v>
      </c>
      <c r="E25">
        <v>80</v>
      </c>
      <c r="F25">
        <v>2</v>
      </c>
      <c r="G25">
        <v>8.8699999999999992</v>
      </c>
      <c r="H25">
        <v>3.27</v>
      </c>
      <c r="I25">
        <v>8.6999999999999993</v>
      </c>
      <c r="J25">
        <v>7.36</v>
      </c>
      <c r="K25">
        <v>5.28</v>
      </c>
      <c r="L25">
        <f t="shared" si="0"/>
        <v>0</v>
      </c>
    </row>
    <row r="26" spans="1:12" x14ac:dyDescent="0.3">
      <c r="A26">
        <v>2022</v>
      </c>
      <c r="B26" t="s">
        <v>55</v>
      </c>
      <c r="C26" t="s">
        <v>56</v>
      </c>
      <c r="D26">
        <v>7.87</v>
      </c>
      <c r="E26">
        <v>10</v>
      </c>
      <c r="F26">
        <v>1</v>
      </c>
      <c r="G26">
        <v>6.41</v>
      </c>
      <c r="H26">
        <v>7.91</v>
      </c>
      <c r="I26">
        <v>8.5500000000000007</v>
      </c>
      <c r="J26">
        <v>8.5299999999999994</v>
      </c>
      <c r="K26">
        <v>7.93</v>
      </c>
      <c r="L26">
        <f t="shared" si="0"/>
        <v>1</v>
      </c>
    </row>
    <row r="27" spans="1:12" x14ac:dyDescent="0.3">
      <c r="A27">
        <v>2022</v>
      </c>
      <c r="B27" t="s">
        <v>59</v>
      </c>
      <c r="C27" t="s">
        <v>60</v>
      </c>
      <c r="D27">
        <v>7.56</v>
      </c>
      <c r="E27">
        <v>29</v>
      </c>
      <c r="F27">
        <v>1</v>
      </c>
      <c r="G27">
        <v>7.54</v>
      </c>
      <c r="H27">
        <v>6.82</v>
      </c>
      <c r="I27">
        <v>8.11</v>
      </c>
      <c r="J27">
        <v>8.56</v>
      </c>
      <c r="K27">
        <v>6.76</v>
      </c>
      <c r="L27">
        <f t="shared" si="0"/>
        <v>1</v>
      </c>
    </row>
    <row r="28" spans="1:12" x14ac:dyDescent="0.3">
      <c r="A28">
        <v>2022</v>
      </c>
      <c r="B28" t="s">
        <v>61</v>
      </c>
      <c r="C28" t="s">
        <v>62</v>
      </c>
      <c r="D28">
        <v>6.11</v>
      </c>
      <c r="E28">
        <v>107</v>
      </c>
      <c r="F28">
        <v>3</v>
      </c>
      <c r="G28">
        <v>4.7300000000000004</v>
      </c>
      <c r="H28">
        <v>4.91</v>
      </c>
      <c r="I28">
        <v>8.25</v>
      </c>
      <c r="J28">
        <v>7.08</v>
      </c>
      <c r="K28">
        <v>5.56</v>
      </c>
      <c r="L28">
        <f t="shared" si="0"/>
        <v>0</v>
      </c>
    </row>
    <row r="29" spans="1:12" x14ac:dyDescent="0.3">
      <c r="A29">
        <v>2022</v>
      </c>
      <c r="B29" t="s">
        <v>65</v>
      </c>
      <c r="C29" t="s">
        <v>66</v>
      </c>
      <c r="D29">
        <v>6.46</v>
      </c>
      <c r="E29">
        <v>88</v>
      </c>
      <c r="F29">
        <v>3</v>
      </c>
      <c r="G29">
        <v>6.92</v>
      </c>
      <c r="H29">
        <v>4.83</v>
      </c>
      <c r="I29">
        <v>6.91</v>
      </c>
      <c r="J29">
        <v>7.12</v>
      </c>
      <c r="K29">
        <v>6.5</v>
      </c>
      <c r="L29">
        <f t="shared" si="0"/>
        <v>0</v>
      </c>
    </row>
    <row r="30" spans="1:12" x14ac:dyDescent="0.3">
      <c r="A30">
        <v>2022</v>
      </c>
      <c r="B30" t="s">
        <v>67</v>
      </c>
      <c r="C30" t="s">
        <v>68</v>
      </c>
      <c r="D30">
        <v>5.52</v>
      </c>
      <c r="E30">
        <v>138</v>
      </c>
      <c r="F30">
        <v>4</v>
      </c>
      <c r="G30">
        <v>6.36</v>
      </c>
      <c r="H30">
        <v>2.99</v>
      </c>
      <c r="I30">
        <v>5.88</v>
      </c>
      <c r="J30">
        <v>6.47</v>
      </c>
      <c r="K30">
        <v>5.91</v>
      </c>
      <c r="L30">
        <f t="shared" si="0"/>
        <v>0</v>
      </c>
    </row>
    <row r="31" spans="1:12" x14ac:dyDescent="0.3">
      <c r="A31">
        <v>2022</v>
      </c>
      <c r="B31" t="s">
        <v>63</v>
      </c>
      <c r="C31" t="s">
        <v>64</v>
      </c>
      <c r="D31">
        <v>4.9400000000000004</v>
      </c>
      <c r="E31">
        <v>154</v>
      </c>
      <c r="F31">
        <v>4</v>
      </c>
      <c r="G31">
        <v>5.95</v>
      </c>
      <c r="H31">
        <v>3.36</v>
      </c>
      <c r="I31">
        <v>5.16</v>
      </c>
      <c r="J31">
        <v>5.77</v>
      </c>
      <c r="K31">
        <v>4.4400000000000004</v>
      </c>
      <c r="L31">
        <f t="shared" si="0"/>
        <v>0</v>
      </c>
    </row>
    <row r="32" spans="1:12" x14ac:dyDescent="0.3">
      <c r="A32">
        <v>2022</v>
      </c>
      <c r="B32" t="s">
        <v>71</v>
      </c>
      <c r="C32" t="s">
        <v>72</v>
      </c>
      <c r="D32">
        <v>7.61</v>
      </c>
      <c r="E32">
        <v>23</v>
      </c>
      <c r="F32">
        <v>1</v>
      </c>
      <c r="G32">
        <v>7.43</v>
      </c>
      <c r="H32">
        <v>6.58</v>
      </c>
      <c r="I32">
        <v>8.81</v>
      </c>
      <c r="J32">
        <v>8.25</v>
      </c>
      <c r="K32">
        <v>7.01</v>
      </c>
      <c r="L32">
        <f t="shared" si="0"/>
        <v>1</v>
      </c>
    </row>
    <row r="33" spans="1:12" x14ac:dyDescent="0.3">
      <c r="A33">
        <v>2022</v>
      </c>
      <c r="B33" t="s">
        <v>123</v>
      </c>
      <c r="C33" t="s">
        <v>124</v>
      </c>
      <c r="D33">
        <v>6.96</v>
      </c>
      <c r="E33">
        <v>66</v>
      </c>
      <c r="F33">
        <v>2</v>
      </c>
      <c r="G33">
        <v>5.9</v>
      </c>
      <c r="H33">
        <v>6.21</v>
      </c>
      <c r="I33">
        <v>8.18</v>
      </c>
      <c r="J33">
        <v>8.4499999999999993</v>
      </c>
      <c r="K33">
        <v>6.04</v>
      </c>
      <c r="L33">
        <f t="shared" si="0"/>
        <v>1</v>
      </c>
    </row>
    <row r="34" spans="1:12" x14ac:dyDescent="0.3">
      <c r="A34">
        <v>2022</v>
      </c>
      <c r="B34" t="s">
        <v>73</v>
      </c>
      <c r="C34" t="s">
        <v>74</v>
      </c>
      <c r="D34">
        <v>7.66</v>
      </c>
      <c r="E34">
        <v>20</v>
      </c>
      <c r="F34">
        <v>1</v>
      </c>
      <c r="G34">
        <v>6.81</v>
      </c>
      <c r="H34">
        <v>6.99</v>
      </c>
      <c r="I34">
        <v>8.76</v>
      </c>
      <c r="J34">
        <v>8.9</v>
      </c>
      <c r="K34">
        <v>6.83</v>
      </c>
      <c r="L34">
        <f t="shared" si="0"/>
        <v>1</v>
      </c>
    </row>
    <row r="35" spans="1:12" x14ac:dyDescent="0.3">
      <c r="A35">
        <v>2022</v>
      </c>
      <c r="B35" t="s">
        <v>75</v>
      </c>
      <c r="C35" t="s">
        <v>76</v>
      </c>
      <c r="D35">
        <v>7.59</v>
      </c>
      <c r="E35">
        <v>25</v>
      </c>
      <c r="F35">
        <v>1</v>
      </c>
      <c r="G35">
        <v>6.43</v>
      </c>
      <c r="H35">
        <v>7.67</v>
      </c>
      <c r="I35">
        <v>8</v>
      </c>
      <c r="J35">
        <v>8.85</v>
      </c>
      <c r="K35">
        <v>6.99</v>
      </c>
      <c r="L35">
        <f t="shared" si="0"/>
        <v>1</v>
      </c>
    </row>
    <row r="36" spans="1:12" x14ac:dyDescent="0.3">
      <c r="A36">
        <v>2022</v>
      </c>
      <c r="B36" t="s">
        <v>81</v>
      </c>
      <c r="C36" t="s">
        <v>82</v>
      </c>
      <c r="D36">
        <v>7.86</v>
      </c>
      <c r="E36">
        <v>11</v>
      </c>
      <c r="F36">
        <v>1</v>
      </c>
      <c r="G36">
        <v>5.45</v>
      </c>
      <c r="H36">
        <v>8.8800000000000008</v>
      </c>
      <c r="I36">
        <v>8.74</v>
      </c>
      <c r="J36">
        <v>8.93</v>
      </c>
      <c r="K36">
        <v>7.32</v>
      </c>
      <c r="L36">
        <f t="shared" si="0"/>
        <v>1</v>
      </c>
    </row>
    <row r="37" spans="1:12" x14ac:dyDescent="0.3">
      <c r="A37">
        <v>2022</v>
      </c>
      <c r="B37" t="s">
        <v>79</v>
      </c>
      <c r="C37" t="s">
        <v>80</v>
      </c>
      <c r="D37">
        <v>6.33</v>
      </c>
      <c r="E37">
        <v>98</v>
      </c>
      <c r="F37">
        <v>3</v>
      </c>
      <c r="G37">
        <v>6.42</v>
      </c>
      <c r="H37">
        <v>3.7</v>
      </c>
      <c r="I37">
        <v>9.1199999999999992</v>
      </c>
      <c r="J37">
        <v>5.76</v>
      </c>
      <c r="K37">
        <v>6.66</v>
      </c>
      <c r="L37">
        <f t="shared" si="0"/>
        <v>0</v>
      </c>
    </row>
    <row r="38" spans="1:12" x14ac:dyDescent="0.3">
      <c r="A38">
        <v>2022</v>
      </c>
      <c r="B38" t="s">
        <v>83</v>
      </c>
      <c r="C38" t="s">
        <v>84</v>
      </c>
      <c r="D38">
        <v>7.37</v>
      </c>
      <c r="E38">
        <v>42</v>
      </c>
      <c r="F38">
        <v>2</v>
      </c>
      <c r="G38">
        <v>8.59</v>
      </c>
      <c r="H38">
        <v>5.42</v>
      </c>
      <c r="I38">
        <v>8.42</v>
      </c>
      <c r="J38">
        <v>8.14</v>
      </c>
      <c r="K38">
        <v>6.28</v>
      </c>
      <c r="L38">
        <f t="shared" si="0"/>
        <v>1</v>
      </c>
    </row>
    <row r="39" spans="1:12" x14ac:dyDescent="0.3">
      <c r="A39">
        <v>2022</v>
      </c>
      <c r="B39" t="s">
        <v>87</v>
      </c>
      <c r="C39" t="s">
        <v>88</v>
      </c>
      <c r="D39">
        <v>6.43</v>
      </c>
      <c r="E39">
        <v>91</v>
      </c>
      <c r="F39">
        <v>3</v>
      </c>
      <c r="G39">
        <v>6.59</v>
      </c>
      <c r="H39">
        <v>4.62</v>
      </c>
      <c r="I39">
        <v>7.78</v>
      </c>
      <c r="J39">
        <v>6.8</v>
      </c>
      <c r="K39">
        <v>6.36</v>
      </c>
      <c r="L39">
        <f t="shared" si="0"/>
        <v>0</v>
      </c>
    </row>
    <row r="40" spans="1:12" x14ac:dyDescent="0.3">
      <c r="A40">
        <v>2022</v>
      </c>
      <c r="B40" t="s">
        <v>89</v>
      </c>
      <c r="C40" t="s">
        <v>90</v>
      </c>
      <c r="D40">
        <v>5.35</v>
      </c>
      <c r="E40">
        <v>144</v>
      </c>
      <c r="F40">
        <v>4</v>
      </c>
      <c r="G40">
        <v>5.33</v>
      </c>
      <c r="H40">
        <v>3.48</v>
      </c>
      <c r="I40">
        <v>7.26</v>
      </c>
      <c r="J40">
        <v>6.12</v>
      </c>
      <c r="K40">
        <v>4.57</v>
      </c>
      <c r="L40">
        <f t="shared" si="0"/>
        <v>0</v>
      </c>
    </row>
    <row r="41" spans="1:12" x14ac:dyDescent="0.3">
      <c r="A41">
        <v>2022</v>
      </c>
      <c r="B41" t="s">
        <v>239</v>
      </c>
      <c r="C41" t="s">
        <v>240</v>
      </c>
      <c r="D41">
        <v>7.11</v>
      </c>
      <c r="E41">
        <v>55</v>
      </c>
      <c r="F41">
        <v>2</v>
      </c>
      <c r="G41">
        <v>8.3699999999999992</v>
      </c>
      <c r="H41">
        <v>4.21</v>
      </c>
      <c r="I41">
        <v>8.7200000000000006</v>
      </c>
      <c r="J41">
        <v>7.98</v>
      </c>
      <c r="K41">
        <v>6.25</v>
      </c>
      <c r="L41">
        <f t="shared" si="0"/>
        <v>1</v>
      </c>
    </row>
    <row r="42" spans="1:12" x14ac:dyDescent="0.3">
      <c r="A42">
        <v>2022</v>
      </c>
      <c r="B42" t="s">
        <v>93</v>
      </c>
      <c r="C42" t="s">
        <v>94</v>
      </c>
      <c r="D42">
        <v>7.57</v>
      </c>
      <c r="E42">
        <v>27</v>
      </c>
      <c r="F42">
        <v>1</v>
      </c>
      <c r="G42">
        <v>6.62</v>
      </c>
      <c r="H42">
        <v>7.74</v>
      </c>
      <c r="I42">
        <v>6.98</v>
      </c>
      <c r="J42">
        <v>8.9499999999999993</v>
      </c>
      <c r="K42">
        <v>7.54</v>
      </c>
      <c r="L42">
        <f t="shared" si="0"/>
        <v>1</v>
      </c>
    </row>
    <row r="43" spans="1:12" x14ac:dyDescent="0.3">
      <c r="A43">
        <v>2022</v>
      </c>
      <c r="B43" t="s">
        <v>95</v>
      </c>
      <c r="C43" t="s">
        <v>96</v>
      </c>
      <c r="D43">
        <v>5.17</v>
      </c>
      <c r="E43">
        <v>149</v>
      </c>
      <c r="F43">
        <v>4</v>
      </c>
      <c r="G43">
        <v>6.9</v>
      </c>
      <c r="H43">
        <v>4.49</v>
      </c>
      <c r="I43">
        <v>4.5</v>
      </c>
      <c r="J43">
        <v>4.25</v>
      </c>
      <c r="K43">
        <v>5.71</v>
      </c>
      <c r="L43">
        <f t="shared" si="0"/>
        <v>0</v>
      </c>
    </row>
    <row r="44" spans="1:12" x14ac:dyDescent="0.3">
      <c r="A44">
        <v>2022</v>
      </c>
      <c r="B44" t="s">
        <v>99</v>
      </c>
      <c r="C44" t="s">
        <v>100</v>
      </c>
      <c r="D44">
        <v>6.03</v>
      </c>
      <c r="E44">
        <v>111</v>
      </c>
      <c r="F44">
        <v>3</v>
      </c>
      <c r="G44">
        <v>5.79</v>
      </c>
      <c r="H44">
        <v>4.5599999999999996</v>
      </c>
      <c r="I44">
        <v>6.71</v>
      </c>
      <c r="J44">
        <v>6.18</v>
      </c>
      <c r="K44">
        <v>6.9</v>
      </c>
      <c r="L44">
        <f t="shared" si="0"/>
        <v>0</v>
      </c>
    </row>
    <row r="45" spans="1:12" x14ac:dyDescent="0.3">
      <c r="A45">
        <v>2022</v>
      </c>
      <c r="B45" t="s">
        <v>97</v>
      </c>
      <c r="C45" t="s">
        <v>98</v>
      </c>
      <c r="D45">
        <v>7.83</v>
      </c>
      <c r="E45">
        <v>14</v>
      </c>
      <c r="F45">
        <v>1</v>
      </c>
      <c r="G45">
        <v>5.0599999999999996</v>
      </c>
      <c r="H45">
        <v>8.8699999999999992</v>
      </c>
      <c r="I45">
        <v>8.89</v>
      </c>
      <c r="J45">
        <v>8.67</v>
      </c>
      <c r="K45">
        <v>7.69</v>
      </c>
      <c r="L45">
        <f t="shared" si="0"/>
        <v>1</v>
      </c>
    </row>
    <row r="46" spans="1:12" x14ac:dyDescent="0.3">
      <c r="A46">
        <v>2022</v>
      </c>
      <c r="B46" t="s">
        <v>101</v>
      </c>
      <c r="C46" t="s">
        <v>102</v>
      </c>
      <c r="D46">
        <v>7.42</v>
      </c>
      <c r="E46">
        <v>40</v>
      </c>
      <c r="F46">
        <v>1</v>
      </c>
      <c r="G46">
        <v>4.92</v>
      </c>
      <c r="H46">
        <v>7.33</v>
      </c>
      <c r="I46">
        <v>8.98</v>
      </c>
      <c r="J46">
        <v>8.94</v>
      </c>
      <c r="K46">
        <v>6.95</v>
      </c>
      <c r="L46">
        <f t="shared" si="0"/>
        <v>1</v>
      </c>
    </row>
    <row r="47" spans="1:12" x14ac:dyDescent="0.3">
      <c r="A47">
        <v>2022</v>
      </c>
      <c r="B47" t="s">
        <v>109</v>
      </c>
      <c r="C47" t="s">
        <v>110</v>
      </c>
      <c r="D47">
        <v>7.05</v>
      </c>
      <c r="E47">
        <v>57</v>
      </c>
      <c r="F47">
        <v>2</v>
      </c>
      <c r="G47">
        <v>7.96</v>
      </c>
      <c r="H47">
        <v>5.36</v>
      </c>
      <c r="I47">
        <v>7.93</v>
      </c>
      <c r="J47">
        <v>7.28</v>
      </c>
      <c r="K47">
        <v>6.74</v>
      </c>
      <c r="L47">
        <f t="shared" si="0"/>
        <v>1</v>
      </c>
    </row>
    <row r="48" spans="1:12" x14ac:dyDescent="0.3">
      <c r="A48">
        <v>2022</v>
      </c>
      <c r="B48" t="s">
        <v>103</v>
      </c>
      <c r="C48" t="s">
        <v>104</v>
      </c>
      <c r="D48">
        <v>7.51</v>
      </c>
      <c r="E48">
        <v>33</v>
      </c>
      <c r="F48">
        <v>1</v>
      </c>
      <c r="G48">
        <v>7.36</v>
      </c>
      <c r="H48">
        <v>5.82</v>
      </c>
      <c r="I48">
        <v>7.99</v>
      </c>
      <c r="J48">
        <v>8.8000000000000007</v>
      </c>
      <c r="K48">
        <v>7.6</v>
      </c>
      <c r="L48">
        <f t="shared" si="0"/>
        <v>1</v>
      </c>
    </row>
    <row r="49" spans="1:12" x14ac:dyDescent="0.3">
      <c r="A49">
        <v>2022</v>
      </c>
      <c r="B49" t="s">
        <v>77</v>
      </c>
      <c r="C49" t="s">
        <v>78</v>
      </c>
      <c r="D49">
        <v>7.8</v>
      </c>
      <c r="E49">
        <v>16</v>
      </c>
      <c r="F49">
        <v>1</v>
      </c>
      <c r="G49">
        <v>5.76</v>
      </c>
      <c r="H49">
        <v>8.23</v>
      </c>
      <c r="I49">
        <v>8.92</v>
      </c>
      <c r="J49">
        <v>8.7200000000000006</v>
      </c>
      <c r="K49">
        <v>7.36</v>
      </c>
      <c r="L49">
        <f t="shared" si="0"/>
        <v>1</v>
      </c>
    </row>
    <row r="50" spans="1:12" x14ac:dyDescent="0.3">
      <c r="A50">
        <v>2022</v>
      </c>
      <c r="B50" t="s">
        <v>105</v>
      </c>
      <c r="C50" t="s">
        <v>106</v>
      </c>
      <c r="D50">
        <v>5.98</v>
      </c>
      <c r="E50">
        <v>117</v>
      </c>
      <c r="F50">
        <v>3</v>
      </c>
      <c r="G50">
        <v>8.3000000000000007</v>
      </c>
      <c r="H50">
        <v>5.27</v>
      </c>
      <c r="I50">
        <v>3.26</v>
      </c>
      <c r="J50">
        <v>6.66</v>
      </c>
      <c r="K50">
        <v>6.41</v>
      </c>
      <c r="L50">
        <f t="shared" si="0"/>
        <v>0</v>
      </c>
    </row>
    <row r="51" spans="1:12" x14ac:dyDescent="0.3">
      <c r="A51">
        <v>2022</v>
      </c>
      <c r="B51" t="s">
        <v>113</v>
      </c>
      <c r="C51" t="s">
        <v>114</v>
      </c>
      <c r="D51">
        <v>6.98</v>
      </c>
      <c r="E51">
        <v>63</v>
      </c>
      <c r="F51">
        <v>2</v>
      </c>
      <c r="G51">
        <v>4.92</v>
      </c>
      <c r="H51">
        <v>6.45</v>
      </c>
      <c r="I51">
        <v>8.36</v>
      </c>
      <c r="J51">
        <v>8.49</v>
      </c>
      <c r="K51">
        <v>6.67</v>
      </c>
      <c r="L51">
        <f t="shared" si="0"/>
        <v>1</v>
      </c>
    </row>
    <row r="52" spans="1:12" x14ac:dyDescent="0.3">
      <c r="A52">
        <v>2022</v>
      </c>
      <c r="B52" t="s">
        <v>115</v>
      </c>
      <c r="C52" t="s">
        <v>116</v>
      </c>
      <c r="D52">
        <v>7.58</v>
      </c>
      <c r="E52">
        <v>26</v>
      </c>
      <c r="F52">
        <v>1</v>
      </c>
      <c r="G52">
        <v>9.1199999999999992</v>
      </c>
      <c r="H52">
        <v>4.5599999999999996</v>
      </c>
      <c r="I52">
        <v>8.81</v>
      </c>
      <c r="J52">
        <v>8.3699999999999992</v>
      </c>
      <c r="K52">
        <v>7.06</v>
      </c>
      <c r="L52">
        <f t="shared" si="0"/>
        <v>1</v>
      </c>
    </row>
    <row r="53" spans="1:12" x14ac:dyDescent="0.3">
      <c r="A53">
        <v>2022</v>
      </c>
      <c r="B53" t="s">
        <v>107</v>
      </c>
      <c r="C53" t="s">
        <v>108</v>
      </c>
      <c r="D53">
        <v>5.77</v>
      </c>
      <c r="E53">
        <v>129</v>
      </c>
      <c r="F53">
        <v>4</v>
      </c>
      <c r="G53">
        <v>7.19</v>
      </c>
      <c r="H53">
        <v>3.42</v>
      </c>
      <c r="I53">
        <v>6.67</v>
      </c>
      <c r="J53">
        <v>5.93</v>
      </c>
      <c r="K53">
        <v>5.63</v>
      </c>
      <c r="L53">
        <f t="shared" si="0"/>
        <v>0</v>
      </c>
    </row>
    <row r="54" spans="1:12" x14ac:dyDescent="0.3">
      <c r="A54">
        <v>2022</v>
      </c>
      <c r="B54" t="s">
        <v>111</v>
      </c>
      <c r="C54" t="s">
        <v>112</v>
      </c>
      <c r="D54">
        <v>5.25</v>
      </c>
      <c r="E54">
        <v>147</v>
      </c>
      <c r="F54">
        <v>4</v>
      </c>
      <c r="G54">
        <v>6.73</v>
      </c>
      <c r="H54">
        <v>2.5299999999999998</v>
      </c>
      <c r="I54">
        <v>5.82</v>
      </c>
      <c r="J54">
        <v>6.32</v>
      </c>
      <c r="K54">
        <v>4.88</v>
      </c>
      <c r="L54">
        <f t="shared" si="0"/>
        <v>0</v>
      </c>
    </row>
    <row r="55" spans="1:12" x14ac:dyDescent="0.3">
      <c r="A55">
        <v>2022</v>
      </c>
      <c r="B55" t="s">
        <v>117</v>
      </c>
      <c r="C55" t="s">
        <v>118</v>
      </c>
      <c r="D55">
        <v>5.47</v>
      </c>
      <c r="E55">
        <v>141</v>
      </c>
      <c r="F55">
        <v>4</v>
      </c>
      <c r="G55">
        <v>3.87</v>
      </c>
      <c r="H55">
        <v>4.34</v>
      </c>
      <c r="I55">
        <v>6.3</v>
      </c>
      <c r="J55">
        <v>6.38</v>
      </c>
      <c r="K55">
        <v>6.48</v>
      </c>
      <c r="L55">
        <f t="shared" si="0"/>
        <v>0</v>
      </c>
    </row>
    <row r="56" spans="1:12" x14ac:dyDescent="0.3">
      <c r="A56">
        <v>2022</v>
      </c>
      <c r="B56" t="s">
        <v>121</v>
      </c>
      <c r="C56" t="s">
        <v>122</v>
      </c>
      <c r="D56">
        <v>6.97</v>
      </c>
      <c r="E56">
        <v>64</v>
      </c>
      <c r="F56">
        <v>2</v>
      </c>
      <c r="G56">
        <v>8.86</v>
      </c>
      <c r="H56">
        <v>4.09</v>
      </c>
      <c r="I56">
        <v>8.33</v>
      </c>
      <c r="J56">
        <v>7.06</v>
      </c>
      <c r="K56">
        <v>6.49</v>
      </c>
      <c r="L56">
        <f t="shared" si="0"/>
        <v>1</v>
      </c>
    </row>
    <row r="57" spans="1:12" x14ac:dyDescent="0.3">
      <c r="A57">
        <v>2022</v>
      </c>
      <c r="B57" t="s">
        <v>119</v>
      </c>
      <c r="C57" t="s">
        <v>120</v>
      </c>
      <c r="D57">
        <v>8.5299999999999994</v>
      </c>
      <c r="E57">
        <v>1</v>
      </c>
      <c r="F57">
        <v>1</v>
      </c>
      <c r="G57">
        <v>7.33</v>
      </c>
      <c r="H57">
        <v>7.6</v>
      </c>
      <c r="I57">
        <v>9.52</v>
      </c>
      <c r="J57">
        <v>9.66</v>
      </c>
      <c r="K57">
        <v>8.5299999999999994</v>
      </c>
      <c r="L57">
        <f t="shared" si="0"/>
        <v>1</v>
      </c>
    </row>
    <row r="58" spans="1:12" x14ac:dyDescent="0.3">
      <c r="A58">
        <v>2022</v>
      </c>
      <c r="B58" t="s">
        <v>125</v>
      </c>
      <c r="C58" t="s">
        <v>126</v>
      </c>
      <c r="D58">
        <v>7.13</v>
      </c>
      <c r="E58">
        <v>54</v>
      </c>
      <c r="F58">
        <v>2</v>
      </c>
      <c r="G58">
        <v>6.14</v>
      </c>
      <c r="H58">
        <v>6.67</v>
      </c>
      <c r="I58">
        <v>7.61</v>
      </c>
      <c r="J58">
        <v>8.6999999999999993</v>
      </c>
      <c r="K58">
        <v>6.54</v>
      </c>
      <c r="L58">
        <f t="shared" si="0"/>
        <v>1</v>
      </c>
    </row>
    <row r="59" spans="1:12" x14ac:dyDescent="0.3">
      <c r="A59">
        <v>2022</v>
      </c>
      <c r="B59" t="s">
        <v>135</v>
      </c>
      <c r="C59" t="s">
        <v>136</v>
      </c>
      <c r="D59">
        <v>7.68</v>
      </c>
      <c r="E59">
        <v>19</v>
      </c>
      <c r="F59">
        <v>1</v>
      </c>
      <c r="G59">
        <v>5.9</v>
      </c>
      <c r="H59">
        <v>8.5399999999999991</v>
      </c>
      <c r="I59">
        <v>8.66</v>
      </c>
      <c r="J59">
        <v>8.43</v>
      </c>
      <c r="K59">
        <v>6.85</v>
      </c>
      <c r="L59">
        <f t="shared" si="0"/>
        <v>1</v>
      </c>
    </row>
    <row r="60" spans="1:12" x14ac:dyDescent="0.3">
      <c r="A60">
        <v>2022</v>
      </c>
      <c r="B60" t="s">
        <v>129</v>
      </c>
      <c r="C60" t="s">
        <v>130</v>
      </c>
      <c r="D60">
        <v>6.59</v>
      </c>
      <c r="E60">
        <v>84</v>
      </c>
      <c r="F60">
        <v>3</v>
      </c>
      <c r="G60">
        <v>7.82</v>
      </c>
      <c r="H60">
        <v>5.44</v>
      </c>
      <c r="I60">
        <v>7.55</v>
      </c>
      <c r="J60">
        <v>6.18</v>
      </c>
      <c r="K60">
        <v>5.96</v>
      </c>
      <c r="L60">
        <f t="shared" si="0"/>
        <v>0</v>
      </c>
    </row>
    <row r="61" spans="1:12" x14ac:dyDescent="0.3">
      <c r="A61">
        <v>2022</v>
      </c>
      <c r="B61" t="s">
        <v>127</v>
      </c>
      <c r="C61" t="s">
        <v>128</v>
      </c>
      <c r="D61">
        <v>6.95</v>
      </c>
      <c r="E61">
        <v>67</v>
      </c>
      <c r="F61">
        <v>2</v>
      </c>
      <c r="G61">
        <v>8.49</v>
      </c>
      <c r="H61">
        <v>4.71</v>
      </c>
      <c r="I61">
        <v>8.92</v>
      </c>
      <c r="J61">
        <v>7.03</v>
      </c>
      <c r="K61">
        <v>5.59</v>
      </c>
      <c r="L61">
        <f t="shared" si="0"/>
        <v>1</v>
      </c>
    </row>
    <row r="62" spans="1:12" x14ac:dyDescent="0.3">
      <c r="A62">
        <v>2022</v>
      </c>
      <c r="B62" t="s">
        <v>133</v>
      </c>
      <c r="C62" t="s">
        <v>134</v>
      </c>
      <c r="D62">
        <v>5.45</v>
      </c>
      <c r="E62">
        <v>142</v>
      </c>
      <c r="F62">
        <v>4</v>
      </c>
      <c r="G62">
        <v>4.7699999999999996</v>
      </c>
      <c r="H62">
        <v>2.52</v>
      </c>
      <c r="I62">
        <v>7.04</v>
      </c>
      <c r="J62">
        <v>7.13</v>
      </c>
      <c r="K62">
        <v>5.8</v>
      </c>
      <c r="L62">
        <f t="shared" si="0"/>
        <v>0</v>
      </c>
    </row>
    <row r="63" spans="1:12" x14ac:dyDescent="0.3">
      <c r="A63">
        <v>2022</v>
      </c>
      <c r="B63" t="s">
        <v>131</v>
      </c>
      <c r="C63" t="s">
        <v>132</v>
      </c>
      <c r="D63">
        <v>8.02</v>
      </c>
      <c r="E63">
        <v>5</v>
      </c>
      <c r="F63">
        <v>1</v>
      </c>
      <c r="G63">
        <v>6.44</v>
      </c>
      <c r="H63">
        <v>7.91</v>
      </c>
      <c r="I63">
        <v>8.73</v>
      </c>
      <c r="J63">
        <v>8.98</v>
      </c>
      <c r="K63">
        <v>8.07</v>
      </c>
      <c r="L63">
        <f t="shared" si="0"/>
        <v>1</v>
      </c>
    </row>
    <row r="64" spans="1:12" x14ac:dyDescent="0.3">
      <c r="A64">
        <v>2022</v>
      </c>
      <c r="B64" t="s">
        <v>137</v>
      </c>
      <c r="C64" t="s">
        <v>138</v>
      </c>
      <c r="D64">
        <v>7.52</v>
      </c>
      <c r="E64">
        <v>31</v>
      </c>
      <c r="F64">
        <v>1</v>
      </c>
      <c r="G64">
        <v>6.02</v>
      </c>
      <c r="H64">
        <v>6.54</v>
      </c>
      <c r="I64">
        <v>9.0299999999999994</v>
      </c>
      <c r="J64">
        <v>8.7100000000000009</v>
      </c>
      <c r="K64">
        <v>7.31</v>
      </c>
      <c r="L64">
        <f t="shared" si="0"/>
        <v>1</v>
      </c>
    </row>
    <row r="65" spans="1:12" x14ac:dyDescent="0.3">
      <c r="A65">
        <v>2022</v>
      </c>
      <c r="B65" t="s">
        <v>139</v>
      </c>
      <c r="C65" t="s">
        <v>140</v>
      </c>
      <c r="D65">
        <v>7.23</v>
      </c>
      <c r="E65">
        <v>52</v>
      </c>
      <c r="F65">
        <v>2</v>
      </c>
      <c r="G65">
        <v>5.19</v>
      </c>
      <c r="H65">
        <v>6.73</v>
      </c>
      <c r="I65">
        <v>8.7799999999999994</v>
      </c>
      <c r="J65">
        <v>8.9700000000000006</v>
      </c>
      <c r="K65">
        <v>6.47</v>
      </c>
      <c r="L65">
        <f t="shared" si="0"/>
        <v>1</v>
      </c>
    </row>
    <row r="66" spans="1:12" x14ac:dyDescent="0.3">
      <c r="A66">
        <v>2022</v>
      </c>
      <c r="B66" t="s">
        <v>141</v>
      </c>
      <c r="C66" t="s">
        <v>142</v>
      </c>
      <c r="D66">
        <v>7.38</v>
      </c>
      <c r="E66">
        <v>41</v>
      </c>
      <c r="F66">
        <v>1</v>
      </c>
      <c r="G66">
        <v>7.97</v>
      </c>
      <c r="H66">
        <v>5.86</v>
      </c>
      <c r="I66">
        <v>8.0399999999999991</v>
      </c>
      <c r="J66">
        <v>7.28</v>
      </c>
      <c r="K66">
        <v>7.77</v>
      </c>
      <c r="L66">
        <f t="shared" si="0"/>
        <v>1</v>
      </c>
    </row>
    <row r="67" spans="1:12" x14ac:dyDescent="0.3">
      <c r="A67">
        <v>2022</v>
      </c>
      <c r="B67" t="s">
        <v>145</v>
      </c>
      <c r="C67" t="s">
        <v>146</v>
      </c>
      <c r="D67">
        <v>7.86</v>
      </c>
      <c r="E67">
        <v>11</v>
      </c>
      <c r="F67">
        <v>1</v>
      </c>
      <c r="G67">
        <v>5.83</v>
      </c>
      <c r="H67">
        <v>7.78</v>
      </c>
      <c r="I67">
        <v>9.57</v>
      </c>
      <c r="J67">
        <v>8.5</v>
      </c>
      <c r="K67">
        <v>7.6</v>
      </c>
      <c r="L67">
        <f t="shared" ref="L67:L130" si="1">IF(D67&gt;$Y$1,1,0)</f>
        <v>1</v>
      </c>
    </row>
    <row r="68" spans="1:12" x14ac:dyDescent="0.3">
      <c r="A68">
        <v>2022</v>
      </c>
      <c r="B68" t="s">
        <v>143</v>
      </c>
      <c r="C68" t="s">
        <v>144</v>
      </c>
      <c r="D68">
        <v>7.35</v>
      </c>
      <c r="E68">
        <v>45</v>
      </c>
      <c r="F68">
        <v>2</v>
      </c>
      <c r="G68">
        <v>7.39</v>
      </c>
      <c r="H68">
        <v>4.75</v>
      </c>
      <c r="I68">
        <v>9.36</v>
      </c>
      <c r="J68">
        <v>7.94</v>
      </c>
      <c r="K68">
        <v>7.32</v>
      </c>
      <c r="L68">
        <f t="shared" si="1"/>
        <v>1</v>
      </c>
    </row>
    <row r="69" spans="1:12" x14ac:dyDescent="0.3">
      <c r="A69">
        <v>2022</v>
      </c>
      <c r="B69" t="s">
        <v>147</v>
      </c>
      <c r="C69" t="s">
        <v>148</v>
      </c>
      <c r="D69">
        <v>6.76</v>
      </c>
      <c r="E69">
        <v>75</v>
      </c>
      <c r="F69">
        <v>2</v>
      </c>
      <c r="G69">
        <v>7.71</v>
      </c>
      <c r="H69">
        <v>5.33</v>
      </c>
      <c r="I69">
        <v>7.45</v>
      </c>
      <c r="J69">
        <v>7.01</v>
      </c>
      <c r="K69">
        <v>6.28</v>
      </c>
      <c r="L69">
        <f t="shared" si="1"/>
        <v>0</v>
      </c>
    </row>
    <row r="70" spans="1:12" x14ac:dyDescent="0.3">
      <c r="A70">
        <v>2022</v>
      </c>
      <c r="B70" t="s">
        <v>149</v>
      </c>
      <c r="C70" t="s">
        <v>150</v>
      </c>
      <c r="D70">
        <v>6.8</v>
      </c>
      <c r="E70">
        <v>71</v>
      </c>
      <c r="F70">
        <v>2</v>
      </c>
      <c r="G70">
        <v>6.93</v>
      </c>
      <c r="H70">
        <v>5.1100000000000003</v>
      </c>
      <c r="I70">
        <v>8.94</v>
      </c>
      <c r="J70">
        <v>6.4</v>
      </c>
      <c r="K70">
        <v>6.64</v>
      </c>
      <c r="L70">
        <f t="shared" si="1"/>
        <v>1</v>
      </c>
    </row>
    <row r="71" spans="1:12" x14ac:dyDescent="0.3">
      <c r="A71">
        <v>2022</v>
      </c>
      <c r="B71" t="s">
        <v>155</v>
      </c>
      <c r="C71" t="s">
        <v>156</v>
      </c>
      <c r="D71">
        <v>7.49</v>
      </c>
      <c r="E71">
        <v>34</v>
      </c>
      <c r="F71">
        <v>1</v>
      </c>
      <c r="G71">
        <v>6.19</v>
      </c>
      <c r="H71">
        <v>7.17</v>
      </c>
      <c r="I71">
        <v>9.07</v>
      </c>
      <c r="J71">
        <v>8</v>
      </c>
      <c r="K71">
        <v>7.04</v>
      </c>
      <c r="L71">
        <f t="shared" si="1"/>
        <v>1</v>
      </c>
    </row>
    <row r="72" spans="1:12" x14ac:dyDescent="0.3">
      <c r="A72">
        <v>2022</v>
      </c>
      <c r="B72" t="s">
        <v>157</v>
      </c>
      <c r="C72" t="s">
        <v>158</v>
      </c>
      <c r="D72">
        <v>6.45</v>
      </c>
      <c r="E72">
        <v>90</v>
      </c>
      <c r="F72">
        <v>3</v>
      </c>
      <c r="G72">
        <v>5.81</v>
      </c>
      <c r="H72">
        <v>5.26</v>
      </c>
      <c r="I72">
        <v>7.82</v>
      </c>
      <c r="J72">
        <v>7.35</v>
      </c>
      <c r="K72">
        <v>6.03</v>
      </c>
      <c r="L72">
        <f t="shared" si="1"/>
        <v>0</v>
      </c>
    </row>
    <row r="73" spans="1:12" x14ac:dyDescent="0.3">
      <c r="A73">
        <v>2022</v>
      </c>
      <c r="B73" t="s">
        <v>151</v>
      </c>
      <c r="C73" t="s">
        <v>152</v>
      </c>
      <c r="D73">
        <v>6.42</v>
      </c>
      <c r="E73">
        <v>92</v>
      </c>
      <c r="F73">
        <v>3</v>
      </c>
      <c r="G73">
        <v>7.31</v>
      </c>
      <c r="H73">
        <v>4.41</v>
      </c>
      <c r="I73">
        <v>6.98</v>
      </c>
      <c r="J73">
        <v>7.38</v>
      </c>
      <c r="K73">
        <v>6.03</v>
      </c>
      <c r="L73">
        <f t="shared" si="1"/>
        <v>0</v>
      </c>
    </row>
    <row r="74" spans="1:12" x14ac:dyDescent="0.3">
      <c r="A74">
        <v>2022</v>
      </c>
      <c r="B74" t="s">
        <v>159</v>
      </c>
      <c r="C74" t="s">
        <v>160</v>
      </c>
      <c r="D74">
        <v>5.86</v>
      </c>
      <c r="E74">
        <v>126</v>
      </c>
      <c r="F74">
        <v>4</v>
      </c>
      <c r="G74">
        <v>7</v>
      </c>
      <c r="H74">
        <v>4.42</v>
      </c>
      <c r="I74">
        <v>4.7</v>
      </c>
      <c r="J74">
        <v>7.4</v>
      </c>
      <c r="K74">
        <v>5.76</v>
      </c>
      <c r="L74">
        <f t="shared" si="1"/>
        <v>0</v>
      </c>
    </row>
    <row r="75" spans="1:12" x14ac:dyDescent="0.3">
      <c r="A75">
        <v>2022</v>
      </c>
      <c r="B75" t="s">
        <v>171</v>
      </c>
      <c r="C75" t="s">
        <v>172</v>
      </c>
      <c r="D75">
        <v>7.47</v>
      </c>
      <c r="E75">
        <v>36</v>
      </c>
      <c r="F75">
        <v>1</v>
      </c>
      <c r="G75">
        <v>6.53</v>
      </c>
      <c r="H75">
        <v>7.1</v>
      </c>
      <c r="I75">
        <v>7.52</v>
      </c>
      <c r="J75">
        <v>8.77</v>
      </c>
      <c r="K75">
        <v>7.44</v>
      </c>
      <c r="L75">
        <f t="shared" si="1"/>
        <v>1</v>
      </c>
    </row>
    <row r="76" spans="1:12" x14ac:dyDescent="0.3">
      <c r="A76">
        <v>2022</v>
      </c>
      <c r="B76" t="s">
        <v>161</v>
      </c>
      <c r="C76" t="s">
        <v>162</v>
      </c>
      <c r="D76">
        <v>5.58</v>
      </c>
      <c r="E76">
        <v>136</v>
      </c>
      <c r="F76">
        <v>4</v>
      </c>
      <c r="G76">
        <v>9.23</v>
      </c>
      <c r="H76">
        <v>3.53</v>
      </c>
      <c r="I76">
        <v>4.9800000000000004</v>
      </c>
      <c r="J76">
        <v>4.16</v>
      </c>
      <c r="K76">
        <v>6.02</v>
      </c>
      <c r="L76">
        <f t="shared" si="1"/>
        <v>0</v>
      </c>
    </row>
    <row r="77" spans="1:12" x14ac:dyDescent="0.3">
      <c r="A77">
        <v>2022</v>
      </c>
      <c r="B77" t="s">
        <v>165</v>
      </c>
      <c r="C77" t="s">
        <v>166</v>
      </c>
      <c r="D77">
        <v>5.91</v>
      </c>
      <c r="E77">
        <v>122</v>
      </c>
      <c r="F77">
        <v>3</v>
      </c>
      <c r="G77">
        <v>5.5</v>
      </c>
      <c r="H77">
        <v>4.46</v>
      </c>
      <c r="I77">
        <v>7.27</v>
      </c>
      <c r="J77">
        <v>6.54</v>
      </c>
      <c r="K77">
        <v>5.77</v>
      </c>
      <c r="L77">
        <f t="shared" si="1"/>
        <v>0</v>
      </c>
    </row>
    <row r="78" spans="1:12" x14ac:dyDescent="0.3">
      <c r="A78">
        <v>2022</v>
      </c>
      <c r="B78" t="s">
        <v>163</v>
      </c>
      <c r="C78" t="s">
        <v>164</v>
      </c>
      <c r="D78">
        <v>4.78</v>
      </c>
      <c r="E78">
        <v>155</v>
      </c>
      <c r="F78">
        <v>4</v>
      </c>
      <c r="G78">
        <v>3.62</v>
      </c>
      <c r="H78">
        <v>3.3</v>
      </c>
      <c r="I78">
        <v>6.93</v>
      </c>
      <c r="J78">
        <v>5.76</v>
      </c>
      <c r="K78">
        <v>4.2699999999999996</v>
      </c>
      <c r="L78">
        <f t="shared" si="1"/>
        <v>0</v>
      </c>
    </row>
    <row r="79" spans="1:12" x14ac:dyDescent="0.3">
      <c r="A79">
        <v>2022</v>
      </c>
      <c r="B79" t="s">
        <v>167</v>
      </c>
      <c r="C79" t="s">
        <v>168</v>
      </c>
      <c r="D79">
        <v>7.33</v>
      </c>
      <c r="E79">
        <v>46</v>
      </c>
      <c r="F79">
        <v>2</v>
      </c>
      <c r="G79">
        <v>7.12</v>
      </c>
      <c r="H79">
        <v>7.08</v>
      </c>
      <c r="I79">
        <v>6.87</v>
      </c>
      <c r="J79">
        <v>8.75</v>
      </c>
      <c r="K79">
        <v>6.82</v>
      </c>
      <c r="L79">
        <f t="shared" si="1"/>
        <v>1</v>
      </c>
    </row>
    <row r="80" spans="1:12" x14ac:dyDescent="0.3">
      <c r="A80">
        <v>2022</v>
      </c>
      <c r="B80" t="s">
        <v>169</v>
      </c>
      <c r="C80" t="s">
        <v>170</v>
      </c>
      <c r="D80">
        <v>7.89</v>
      </c>
      <c r="E80">
        <v>9</v>
      </c>
      <c r="F80">
        <v>1</v>
      </c>
      <c r="G80">
        <v>5.38</v>
      </c>
      <c r="H80">
        <v>8.57</v>
      </c>
      <c r="I80">
        <v>8.9700000000000006</v>
      </c>
      <c r="J80">
        <v>8.9700000000000006</v>
      </c>
      <c r="K80">
        <v>7.58</v>
      </c>
      <c r="L80">
        <f t="shared" si="1"/>
        <v>1</v>
      </c>
    </row>
    <row r="81" spans="1:12" x14ac:dyDescent="0.3">
      <c r="A81">
        <v>2022</v>
      </c>
      <c r="B81" t="s">
        <v>177</v>
      </c>
      <c r="C81" t="s">
        <v>178</v>
      </c>
      <c r="D81">
        <v>6.02</v>
      </c>
      <c r="E81">
        <v>114</v>
      </c>
      <c r="F81">
        <v>3</v>
      </c>
      <c r="G81">
        <v>7.2</v>
      </c>
      <c r="H81">
        <v>3.15</v>
      </c>
      <c r="I81">
        <v>7.39</v>
      </c>
      <c r="J81">
        <v>6.87</v>
      </c>
      <c r="K81">
        <v>5.5</v>
      </c>
      <c r="L81">
        <f t="shared" si="1"/>
        <v>0</v>
      </c>
    </row>
    <row r="82" spans="1:12" x14ac:dyDescent="0.3">
      <c r="A82">
        <v>2022</v>
      </c>
      <c r="B82" t="s">
        <v>197</v>
      </c>
      <c r="C82" t="s">
        <v>198</v>
      </c>
      <c r="D82">
        <v>7.46</v>
      </c>
      <c r="E82">
        <v>37</v>
      </c>
      <c r="F82">
        <v>1</v>
      </c>
      <c r="G82">
        <v>7.21</v>
      </c>
      <c r="H82">
        <v>5.43</v>
      </c>
      <c r="I82">
        <v>9.2799999999999994</v>
      </c>
      <c r="J82">
        <v>7.89</v>
      </c>
      <c r="K82">
        <v>7.51</v>
      </c>
      <c r="L82">
        <f t="shared" si="1"/>
        <v>1</v>
      </c>
    </row>
    <row r="83" spans="1:12" x14ac:dyDescent="0.3">
      <c r="A83">
        <v>2022</v>
      </c>
      <c r="B83" t="s">
        <v>183</v>
      </c>
      <c r="C83" t="s">
        <v>184</v>
      </c>
      <c r="D83">
        <v>5.65</v>
      </c>
      <c r="E83">
        <v>133</v>
      </c>
      <c r="F83">
        <v>4</v>
      </c>
      <c r="G83">
        <v>7.12</v>
      </c>
      <c r="H83">
        <v>3.46</v>
      </c>
      <c r="I83">
        <v>5.81</v>
      </c>
      <c r="J83">
        <v>6.38</v>
      </c>
      <c r="K83">
        <v>5.49</v>
      </c>
      <c r="L83">
        <f t="shared" si="1"/>
        <v>0</v>
      </c>
    </row>
    <row r="84" spans="1:12" x14ac:dyDescent="0.3">
      <c r="A84">
        <v>2022</v>
      </c>
      <c r="B84" t="s">
        <v>185</v>
      </c>
      <c r="C84" t="s">
        <v>186</v>
      </c>
      <c r="D84">
        <v>7.85</v>
      </c>
      <c r="E84">
        <v>13</v>
      </c>
      <c r="F84">
        <v>1</v>
      </c>
      <c r="G84">
        <v>6.75</v>
      </c>
      <c r="H84">
        <v>7.19</v>
      </c>
      <c r="I84">
        <v>8.99</v>
      </c>
      <c r="J84">
        <v>9.01</v>
      </c>
      <c r="K84">
        <v>7.3</v>
      </c>
      <c r="L84">
        <f t="shared" si="1"/>
        <v>1</v>
      </c>
    </row>
    <row r="85" spans="1:12" x14ac:dyDescent="0.3">
      <c r="A85">
        <v>2022</v>
      </c>
      <c r="B85" t="s">
        <v>193</v>
      </c>
      <c r="C85" t="s">
        <v>194</v>
      </c>
      <c r="D85">
        <v>6.01</v>
      </c>
      <c r="E85">
        <v>115</v>
      </c>
      <c r="F85">
        <v>3</v>
      </c>
      <c r="G85">
        <v>6.59</v>
      </c>
      <c r="H85">
        <v>3.44</v>
      </c>
      <c r="I85">
        <v>7.3</v>
      </c>
      <c r="J85">
        <v>6.79</v>
      </c>
      <c r="K85">
        <v>5.93</v>
      </c>
      <c r="L85">
        <f t="shared" si="1"/>
        <v>0</v>
      </c>
    </row>
    <row r="86" spans="1:12" x14ac:dyDescent="0.3">
      <c r="A86">
        <v>2022</v>
      </c>
      <c r="B86" t="s">
        <v>195</v>
      </c>
      <c r="C86" t="s">
        <v>196</v>
      </c>
      <c r="D86">
        <v>7.72</v>
      </c>
      <c r="E86">
        <v>18</v>
      </c>
      <c r="F86">
        <v>1</v>
      </c>
      <c r="G86">
        <v>7.92</v>
      </c>
      <c r="H86">
        <v>6.68</v>
      </c>
      <c r="I86">
        <v>8.27</v>
      </c>
      <c r="J86">
        <v>8.76</v>
      </c>
      <c r="K86">
        <v>6.96</v>
      </c>
      <c r="L86">
        <f t="shared" si="1"/>
        <v>1</v>
      </c>
    </row>
    <row r="87" spans="1:12" x14ac:dyDescent="0.3">
      <c r="A87">
        <v>2022</v>
      </c>
      <c r="B87" t="s">
        <v>179</v>
      </c>
      <c r="C87" t="s">
        <v>180</v>
      </c>
      <c r="D87">
        <v>6.92</v>
      </c>
      <c r="E87">
        <v>69</v>
      </c>
      <c r="F87">
        <v>2</v>
      </c>
      <c r="G87">
        <v>8.16</v>
      </c>
      <c r="H87">
        <v>4.68</v>
      </c>
      <c r="I87">
        <v>7.48</v>
      </c>
      <c r="J87">
        <v>8.1</v>
      </c>
      <c r="K87">
        <v>6.17</v>
      </c>
      <c r="L87">
        <f t="shared" si="1"/>
        <v>1</v>
      </c>
    </row>
    <row r="88" spans="1:12" x14ac:dyDescent="0.3">
      <c r="A88">
        <v>2022</v>
      </c>
      <c r="B88" t="s">
        <v>175</v>
      </c>
      <c r="C88" t="s">
        <v>176</v>
      </c>
      <c r="D88">
        <v>6.4</v>
      </c>
      <c r="E88">
        <v>94</v>
      </c>
      <c r="F88">
        <v>3</v>
      </c>
      <c r="G88">
        <v>7.68</v>
      </c>
      <c r="H88">
        <v>5.87</v>
      </c>
      <c r="I88">
        <v>5.24</v>
      </c>
      <c r="J88">
        <v>7.61</v>
      </c>
      <c r="K88">
        <v>5.58</v>
      </c>
      <c r="L88">
        <f t="shared" si="1"/>
        <v>0</v>
      </c>
    </row>
    <row r="89" spans="1:12" x14ac:dyDescent="0.3">
      <c r="A89">
        <v>2022</v>
      </c>
      <c r="B89" t="s">
        <v>189</v>
      </c>
      <c r="C89" t="s">
        <v>190</v>
      </c>
      <c r="D89">
        <v>6.74</v>
      </c>
      <c r="E89">
        <v>76</v>
      </c>
      <c r="F89">
        <v>2</v>
      </c>
      <c r="G89">
        <v>6.54</v>
      </c>
      <c r="H89">
        <v>5.85</v>
      </c>
      <c r="I89">
        <v>7.51</v>
      </c>
      <c r="J89">
        <v>7.29</v>
      </c>
      <c r="K89">
        <v>6.49</v>
      </c>
      <c r="L89">
        <f t="shared" si="1"/>
        <v>0</v>
      </c>
    </row>
    <row r="90" spans="1:12" x14ac:dyDescent="0.3">
      <c r="A90">
        <v>2022</v>
      </c>
      <c r="B90" t="s">
        <v>187</v>
      </c>
      <c r="C90" t="s">
        <v>188</v>
      </c>
      <c r="D90">
        <v>7.05</v>
      </c>
      <c r="E90">
        <v>57</v>
      </c>
      <c r="F90">
        <v>2</v>
      </c>
      <c r="G90">
        <v>6.69</v>
      </c>
      <c r="H90">
        <v>5.68</v>
      </c>
      <c r="I90">
        <v>7.96</v>
      </c>
      <c r="J90">
        <v>8.2899999999999991</v>
      </c>
      <c r="K90">
        <v>6.66</v>
      </c>
      <c r="L90">
        <f t="shared" si="1"/>
        <v>1</v>
      </c>
    </row>
    <row r="91" spans="1:12" x14ac:dyDescent="0.3">
      <c r="A91">
        <v>2022</v>
      </c>
      <c r="B91" t="s">
        <v>173</v>
      </c>
      <c r="C91" t="s">
        <v>174</v>
      </c>
      <c r="D91">
        <v>6.4</v>
      </c>
      <c r="E91">
        <v>94</v>
      </c>
      <c r="F91">
        <v>3</v>
      </c>
      <c r="G91">
        <v>6.83</v>
      </c>
      <c r="H91">
        <v>5.35</v>
      </c>
      <c r="I91">
        <v>6.42</v>
      </c>
      <c r="J91">
        <v>7.08</v>
      </c>
      <c r="K91">
        <v>6.29</v>
      </c>
      <c r="L91">
        <f t="shared" si="1"/>
        <v>0</v>
      </c>
    </row>
    <row r="92" spans="1:12" x14ac:dyDescent="0.3">
      <c r="A92">
        <v>2022</v>
      </c>
      <c r="B92" t="s">
        <v>191</v>
      </c>
      <c r="C92" t="s">
        <v>192</v>
      </c>
      <c r="D92">
        <v>5.96</v>
      </c>
      <c r="E92">
        <v>119</v>
      </c>
      <c r="F92">
        <v>3</v>
      </c>
      <c r="G92">
        <v>7.05</v>
      </c>
      <c r="H92">
        <v>4.58</v>
      </c>
      <c r="I92">
        <v>5.86</v>
      </c>
      <c r="J92">
        <v>6.55</v>
      </c>
      <c r="K92">
        <v>5.77</v>
      </c>
      <c r="L92">
        <f t="shared" si="1"/>
        <v>0</v>
      </c>
    </row>
    <row r="93" spans="1:12" x14ac:dyDescent="0.3">
      <c r="A93">
        <v>2022</v>
      </c>
      <c r="B93" t="s">
        <v>199</v>
      </c>
      <c r="C93" t="s">
        <v>200</v>
      </c>
      <c r="D93">
        <v>6.26</v>
      </c>
      <c r="E93">
        <v>100</v>
      </c>
      <c r="F93">
        <v>3</v>
      </c>
      <c r="G93">
        <v>7.23</v>
      </c>
      <c r="H93">
        <v>6.23</v>
      </c>
      <c r="I93">
        <v>6.34</v>
      </c>
      <c r="J93">
        <v>6.35</v>
      </c>
      <c r="K93">
        <v>5.16</v>
      </c>
      <c r="L93">
        <f t="shared" si="1"/>
        <v>0</v>
      </c>
    </row>
    <row r="94" spans="1:12" x14ac:dyDescent="0.3">
      <c r="A94">
        <v>2022</v>
      </c>
      <c r="B94" t="s">
        <v>209</v>
      </c>
      <c r="C94" t="s">
        <v>210</v>
      </c>
      <c r="D94">
        <v>6.59</v>
      </c>
      <c r="E94">
        <v>84</v>
      </c>
      <c r="F94">
        <v>3</v>
      </c>
      <c r="G94">
        <v>7.56</v>
      </c>
      <c r="H94">
        <v>4.9800000000000004</v>
      </c>
      <c r="I94">
        <v>7.27</v>
      </c>
      <c r="J94">
        <v>6</v>
      </c>
      <c r="K94">
        <v>7.14</v>
      </c>
      <c r="L94">
        <f t="shared" si="1"/>
        <v>0</v>
      </c>
    </row>
    <row r="95" spans="1:12" x14ac:dyDescent="0.3">
      <c r="A95">
        <v>2022</v>
      </c>
      <c r="B95" t="s">
        <v>207</v>
      </c>
      <c r="C95" t="s">
        <v>208</v>
      </c>
      <c r="D95">
        <v>7.8</v>
      </c>
      <c r="E95">
        <v>16</v>
      </c>
      <c r="F95">
        <v>1</v>
      </c>
      <c r="G95">
        <v>5.07</v>
      </c>
      <c r="H95">
        <v>8.93</v>
      </c>
      <c r="I95">
        <v>8.69</v>
      </c>
      <c r="J95">
        <v>9.14</v>
      </c>
      <c r="K95">
        <v>7.15</v>
      </c>
      <c r="L95">
        <f t="shared" si="1"/>
        <v>1</v>
      </c>
    </row>
    <row r="96" spans="1:12" x14ac:dyDescent="0.3">
      <c r="A96">
        <v>2022</v>
      </c>
      <c r="B96" t="s">
        <v>211</v>
      </c>
      <c r="C96" t="s">
        <v>212</v>
      </c>
      <c r="D96">
        <v>8.2799999999999994</v>
      </c>
      <c r="E96">
        <v>3</v>
      </c>
      <c r="F96">
        <v>1</v>
      </c>
      <c r="G96">
        <v>6.36</v>
      </c>
      <c r="H96">
        <v>8.73</v>
      </c>
      <c r="I96">
        <v>8.83</v>
      </c>
      <c r="J96">
        <v>8.93</v>
      </c>
      <c r="K96">
        <v>8.5399999999999991</v>
      </c>
      <c r="L96">
        <f t="shared" si="1"/>
        <v>1</v>
      </c>
    </row>
    <row r="97" spans="1:12" x14ac:dyDescent="0.3">
      <c r="A97">
        <v>2022</v>
      </c>
      <c r="B97" t="s">
        <v>205</v>
      </c>
      <c r="C97" t="s">
        <v>206</v>
      </c>
      <c r="D97">
        <v>6.42</v>
      </c>
      <c r="E97">
        <v>92</v>
      </c>
      <c r="F97">
        <v>3</v>
      </c>
      <c r="G97">
        <v>6.27</v>
      </c>
      <c r="H97">
        <v>3.48</v>
      </c>
      <c r="I97">
        <v>8.58</v>
      </c>
      <c r="J97">
        <v>7.9</v>
      </c>
      <c r="K97">
        <v>5.9</v>
      </c>
      <c r="L97">
        <f t="shared" si="1"/>
        <v>0</v>
      </c>
    </row>
    <row r="98" spans="1:12" x14ac:dyDescent="0.3">
      <c r="A98">
        <v>2022</v>
      </c>
      <c r="B98" t="s">
        <v>201</v>
      </c>
      <c r="C98" t="s">
        <v>202</v>
      </c>
      <c r="D98">
        <v>5.62</v>
      </c>
      <c r="E98">
        <v>134</v>
      </c>
      <c r="F98">
        <v>4</v>
      </c>
      <c r="G98">
        <v>6.39</v>
      </c>
      <c r="H98">
        <v>3.33</v>
      </c>
      <c r="I98">
        <v>6.7</v>
      </c>
      <c r="J98">
        <v>5.75</v>
      </c>
      <c r="K98">
        <v>5.95</v>
      </c>
      <c r="L98">
        <f t="shared" si="1"/>
        <v>0</v>
      </c>
    </row>
    <row r="99" spans="1:12" x14ac:dyDescent="0.3">
      <c r="A99">
        <v>2022</v>
      </c>
      <c r="B99" t="s">
        <v>203</v>
      </c>
      <c r="C99" t="s">
        <v>204</v>
      </c>
      <c r="D99">
        <v>6.04</v>
      </c>
      <c r="E99">
        <v>110</v>
      </c>
      <c r="F99">
        <v>3</v>
      </c>
      <c r="G99">
        <v>8.7799999999999994</v>
      </c>
      <c r="H99">
        <v>3.98</v>
      </c>
      <c r="I99">
        <v>7.46</v>
      </c>
      <c r="J99">
        <v>3.49</v>
      </c>
      <c r="K99">
        <v>6.47</v>
      </c>
      <c r="L99">
        <f t="shared" si="1"/>
        <v>0</v>
      </c>
    </row>
    <row r="100" spans="1:12" x14ac:dyDescent="0.3">
      <c r="A100">
        <v>2022</v>
      </c>
      <c r="B100" t="s">
        <v>181</v>
      </c>
      <c r="C100" t="s">
        <v>182</v>
      </c>
      <c r="D100">
        <v>6.69</v>
      </c>
      <c r="E100">
        <v>80</v>
      </c>
      <c r="F100">
        <v>2</v>
      </c>
      <c r="G100">
        <v>7.02</v>
      </c>
      <c r="H100">
        <v>4.83</v>
      </c>
      <c r="I100">
        <v>6.7</v>
      </c>
      <c r="J100">
        <v>7.72</v>
      </c>
      <c r="K100">
        <v>7.2</v>
      </c>
      <c r="L100">
        <f t="shared" si="1"/>
        <v>0</v>
      </c>
    </row>
    <row r="101" spans="1:12" x14ac:dyDescent="0.3">
      <c r="A101">
        <v>2022</v>
      </c>
      <c r="B101" t="s">
        <v>213</v>
      </c>
      <c r="C101" t="s">
        <v>214</v>
      </c>
      <c r="D101">
        <v>6.47</v>
      </c>
      <c r="E101">
        <v>87</v>
      </c>
      <c r="F101">
        <v>3</v>
      </c>
      <c r="G101">
        <v>4.9400000000000004</v>
      </c>
      <c r="H101">
        <v>5.37</v>
      </c>
      <c r="I101">
        <v>8.16</v>
      </c>
      <c r="J101">
        <v>7.45</v>
      </c>
      <c r="K101">
        <v>6.44</v>
      </c>
      <c r="L101">
        <f t="shared" si="1"/>
        <v>0</v>
      </c>
    </row>
    <row r="102" spans="1:12" x14ac:dyDescent="0.3">
      <c r="A102">
        <v>2022</v>
      </c>
      <c r="B102" t="s">
        <v>215</v>
      </c>
      <c r="C102" t="s">
        <v>216</v>
      </c>
      <c r="D102">
        <v>5.72</v>
      </c>
      <c r="E102">
        <v>131</v>
      </c>
      <c r="F102">
        <v>4</v>
      </c>
      <c r="G102">
        <v>8.0299999999999994</v>
      </c>
      <c r="H102">
        <v>3.93</v>
      </c>
      <c r="I102">
        <v>4.72</v>
      </c>
      <c r="J102">
        <v>5.97</v>
      </c>
      <c r="K102">
        <v>5.95</v>
      </c>
      <c r="L102">
        <f t="shared" si="1"/>
        <v>0</v>
      </c>
    </row>
    <row r="103" spans="1:12" x14ac:dyDescent="0.3">
      <c r="A103">
        <v>2022</v>
      </c>
      <c r="B103" t="s">
        <v>217</v>
      </c>
      <c r="C103" t="s">
        <v>218</v>
      </c>
      <c r="D103">
        <v>7.62</v>
      </c>
      <c r="E103">
        <v>22</v>
      </c>
      <c r="F103">
        <v>1</v>
      </c>
      <c r="G103">
        <v>7.56</v>
      </c>
      <c r="H103">
        <v>5.71</v>
      </c>
      <c r="I103">
        <v>9.08</v>
      </c>
      <c r="J103">
        <v>8.8699999999999992</v>
      </c>
      <c r="K103">
        <v>6.9</v>
      </c>
      <c r="L103">
        <f t="shared" si="1"/>
        <v>1</v>
      </c>
    </row>
    <row r="104" spans="1:12" x14ac:dyDescent="0.3">
      <c r="A104">
        <v>2022</v>
      </c>
      <c r="B104" t="s">
        <v>227</v>
      </c>
      <c r="C104" t="s">
        <v>228</v>
      </c>
      <c r="D104">
        <v>7</v>
      </c>
      <c r="E104">
        <v>62</v>
      </c>
      <c r="F104">
        <v>2</v>
      </c>
      <c r="G104">
        <v>8.01</v>
      </c>
      <c r="H104">
        <v>4.51</v>
      </c>
      <c r="I104">
        <v>8.44</v>
      </c>
      <c r="J104">
        <v>7.4</v>
      </c>
      <c r="K104">
        <v>6.64</v>
      </c>
      <c r="L104">
        <f t="shared" si="1"/>
        <v>1</v>
      </c>
    </row>
    <row r="105" spans="1:12" x14ac:dyDescent="0.3">
      <c r="A105">
        <v>2022</v>
      </c>
      <c r="B105" t="s">
        <v>219</v>
      </c>
      <c r="C105" t="s">
        <v>220</v>
      </c>
      <c r="D105">
        <v>7.29</v>
      </c>
      <c r="E105">
        <v>50</v>
      </c>
      <c r="F105">
        <v>2</v>
      </c>
      <c r="G105">
        <v>7.67</v>
      </c>
      <c r="H105">
        <v>5.0999999999999996</v>
      </c>
      <c r="I105">
        <v>8.32</v>
      </c>
      <c r="J105">
        <v>8.48</v>
      </c>
      <c r="K105">
        <v>6.85</v>
      </c>
      <c r="L105">
        <f t="shared" si="1"/>
        <v>1</v>
      </c>
    </row>
    <row r="106" spans="1:12" x14ac:dyDescent="0.3">
      <c r="A106">
        <v>2022</v>
      </c>
      <c r="B106" t="s">
        <v>221</v>
      </c>
      <c r="C106" t="s">
        <v>222</v>
      </c>
      <c r="D106">
        <v>7.01</v>
      </c>
      <c r="E106">
        <v>61</v>
      </c>
      <c r="F106">
        <v>2</v>
      </c>
      <c r="G106">
        <v>7.77</v>
      </c>
      <c r="H106">
        <v>4.55</v>
      </c>
      <c r="I106">
        <v>9.0399999999999991</v>
      </c>
      <c r="J106">
        <v>7.15</v>
      </c>
      <c r="K106">
        <v>6.55</v>
      </c>
      <c r="L106">
        <f t="shared" si="1"/>
        <v>1</v>
      </c>
    </row>
    <row r="107" spans="1:12" x14ac:dyDescent="0.3">
      <c r="A107">
        <v>2022</v>
      </c>
      <c r="B107" t="s">
        <v>223</v>
      </c>
      <c r="C107" t="s">
        <v>224</v>
      </c>
      <c r="D107">
        <v>6.77</v>
      </c>
      <c r="E107">
        <v>73</v>
      </c>
      <c r="F107">
        <v>2</v>
      </c>
      <c r="G107">
        <v>5.96</v>
      </c>
      <c r="H107">
        <v>6.46</v>
      </c>
      <c r="I107">
        <v>6.62</v>
      </c>
      <c r="J107">
        <v>8.43</v>
      </c>
      <c r="K107">
        <v>6.4</v>
      </c>
      <c r="L107">
        <f t="shared" si="1"/>
        <v>0</v>
      </c>
    </row>
    <row r="108" spans="1:12" x14ac:dyDescent="0.3">
      <c r="A108">
        <v>2022</v>
      </c>
      <c r="B108" t="s">
        <v>225</v>
      </c>
      <c r="C108" t="s">
        <v>226</v>
      </c>
      <c r="D108">
        <v>7.65</v>
      </c>
      <c r="E108">
        <v>21</v>
      </c>
      <c r="F108">
        <v>1</v>
      </c>
      <c r="G108">
        <v>6.14</v>
      </c>
      <c r="H108">
        <v>7.87</v>
      </c>
      <c r="I108">
        <v>8.67</v>
      </c>
      <c r="J108">
        <v>8.91</v>
      </c>
      <c r="K108">
        <v>6.65</v>
      </c>
      <c r="L108">
        <f t="shared" si="1"/>
        <v>1</v>
      </c>
    </row>
    <row r="109" spans="1:12" x14ac:dyDescent="0.3">
      <c r="A109">
        <v>2022</v>
      </c>
      <c r="B109" t="s">
        <v>229</v>
      </c>
      <c r="C109" t="s">
        <v>230</v>
      </c>
      <c r="D109">
        <v>7.32</v>
      </c>
      <c r="E109">
        <v>47</v>
      </c>
      <c r="F109">
        <v>2</v>
      </c>
      <c r="G109">
        <v>6.88</v>
      </c>
      <c r="H109">
        <v>6.88</v>
      </c>
      <c r="I109">
        <v>7.94</v>
      </c>
      <c r="J109">
        <v>8.52</v>
      </c>
      <c r="K109">
        <v>6.35</v>
      </c>
      <c r="L109">
        <f t="shared" si="1"/>
        <v>1</v>
      </c>
    </row>
    <row r="110" spans="1:12" x14ac:dyDescent="0.3">
      <c r="A110">
        <v>2022</v>
      </c>
      <c r="B110" t="s">
        <v>231</v>
      </c>
      <c r="C110" t="s">
        <v>232</v>
      </c>
      <c r="D110">
        <v>6.36</v>
      </c>
      <c r="E110">
        <v>97</v>
      </c>
      <c r="F110">
        <v>3</v>
      </c>
      <c r="G110">
        <v>4.8899999999999997</v>
      </c>
      <c r="H110">
        <v>5.97</v>
      </c>
      <c r="I110">
        <v>6.93</v>
      </c>
      <c r="J110">
        <v>7.53</v>
      </c>
      <c r="K110">
        <v>6.5</v>
      </c>
      <c r="L110">
        <f t="shared" si="1"/>
        <v>0</v>
      </c>
    </row>
    <row r="111" spans="1:12" x14ac:dyDescent="0.3">
      <c r="A111">
        <v>2022</v>
      </c>
      <c r="B111" t="s">
        <v>233</v>
      </c>
      <c r="C111" t="s">
        <v>234</v>
      </c>
      <c r="D111">
        <v>7.04</v>
      </c>
      <c r="E111">
        <v>59</v>
      </c>
      <c r="F111">
        <v>2</v>
      </c>
      <c r="G111">
        <v>6.5</v>
      </c>
      <c r="H111">
        <v>6.45</v>
      </c>
      <c r="I111">
        <v>8.6</v>
      </c>
      <c r="J111">
        <v>6.97</v>
      </c>
      <c r="K111">
        <v>6.7</v>
      </c>
      <c r="L111">
        <f t="shared" si="1"/>
        <v>1</v>
      </c>
    </row>
    <row r="112" spans="1:12" x14ac:dyDescent="0.3">
      <c r="A112">
        <v>2022</v>
      </c>
      <c r="B112" t="s">
        <v>235</v>
      </c>
      <c r="C112" t="s">
        <v>236</v>
      </c>
      <c r="D112">
        <v>6.09</v>
      </c>
      <c r="E112">
        <v>108</v>
      </c>
      <c r="F112">
        <v>3</v>
      </c>
      <c r="G112">
        <v>7.32</v>
      </c>
      <c r="H112">
        <v>4.4800000000000004</v>
      </c>
      <c r="I112">
        <v>5.78</v>
      </c>
      <c r="J112">
        <v>6.85</v>
      </c>
      <c r="K112">
        <v>6.01</v>
      </c>
      <c r="L112">
        <f t="shared" si="1"/>
        <v>0</v>
      </c>
    </row>
    <row r="113" spans="1:12" x14ac:dyDescent="0.3">
      <c r="A113">
        <v>2022</v>
      </c>
      <c r="B113" t="s">
        <v>241</v>
      </c>
      <c r="C113" t="s">
        <v>242</v>
      </c>
      <c r="D113">
        <v>6.59</v>
      </c>
      <c r="E113">
        <v>84</v>
      </c>
      <c r="F113">
        <v>3</v>
      </c>
      <c r="G113">
        <v>6.28</v>
      </c>
      <c r="H113">
        <v>5.42</v>
      </c>
      <c r="I113">
        <v>6.7</v>
      </c>
      <c r="J113">
        <v>8.06</v>
      </c>
      <c r="K113">
        <v>6.49</v>
      </c>
      <c r="L113">
        <f t="shared" si="1"/>
        <v>0</v>
      </c>
    </row>
    <row r="114" spans="1:12" x14ac:dyDescent="0.3">
      <c r="A114">
        <v>2022</v>
      </c>
      <c r="B114" t="s">
        <v>251</v>
      </c>
      <c r="C114" t="s">
        <v>252</v>
      </c>
      <c r="D114">
        <v>7.57</v>
      </c>
      <c r="E114">
        <v>27</v>
      </c>
      <c r="F114">
        <v>1</v>
      </c>
      <c r="G114">
        <v>7.51</v>
      </c>
      <c r="H114">
        <v>5.96</v>
      </c>
      <c r="I114">
        <v>9.27</v>
      </c>
      <c r="J114">
        <v>8.36</v>
      </c>
      <c r="K114">
        <v>6.77</v>
      </c>
      <c r="L114">
        <f t="shared" si="1"/>
        <v>1</v>
      </c>
    </row>
    <row r="115" spans="1:12" x14ac:dyDescent="0.3">
      <c r="A115">
        <v>2022</v>
      </c>
      <c r="B115" t="s">
        <v>237</v>
      </c>
      <c r="C115" t="s">
        <v>238</v>
      </c>
      <c r="D115">
        <v>8.4600000000000009</v>
      </c>
      <c r="E115">
        <v>2</v>
      </c>
      <c r="F115">
        <v>1</v>
      </c>
      <c r="G115">
        <v>7.39</v>
      </c>
      <c r="H115">
        <v>8.58</v>
      </c>
      <c r="I115">
        <v>8.5500000000000007</v>
      </c>
      <c r="J115">
        <v>9.56</v>
      </c>
      <c r="K115">
        <v>8.1999999999999993</v>
      </c>
      <c r="L115">
        <f t="shared" si="1"/>
        <v>1</v>
      </c>
    </row>
    <row r="116" spans="1:12" x14ac:dyDescent="0.3">
      <c r="A116">
        <v>2022</v>
      </c>
      <c r="B116" t="s">
        <v>245</v>
      </c>
      <c r="C116" t="s">
        <v>246</v>
      </c>
      <c r="D116">
        <v>7.37</v>
      </c>
      <c r="E116">
        <v>42</v>
      </c>
      <c r="F116">
        <v>2</v>
      </c>
      <c r="G116">
        <v>6.58</v>
      </c>
      <c r="H116">
        <v>6.71</v>
      </c>
      <c r="I116">
        <v>8.25</v>
      </c>
      <c r="J116">
        <v>8.58</v>
      </c>
      <c r="K116">
        <v>6.75</v>
      </c>
      <c r="L116">
        <f t="shared" si="1"/>
        <v>1</v>
      </c>
    </row>
    <row r="117" spans="1:12" x14ac:dyDescent="0.3">
      <c r="A117">
        <v>2022</v>
      </c>
      <c r="B117" t="s">
        <v>247</v>
      </c>
      <c r="C117" t="s">
        <v>248</v>
      </c>
      <c r="D117">
        <v>7.04</v>
      </c>
      <c r="E117">
        <v>59</v>
      </c>
      <c r="F117">
        <v>2</v>
      </c>
      <c r="G117">
        <v>5.1100000000000003</v>
      </c>
      <c r="H117">
        <v>6.78</v>
      </c>
      <c r="I117">
        <v>8.6</v>
      </c>
      <c r="J117">
        <v>8.4499999999999993</v>
      </c>
      <c r="K117">
        <v>6.28</v>
      </c>
      <c r="L117">
        <f t="shared" si="1"/>
        <v>1</v>
      </c>
    </row>
    <row r="118" spans="1:12" x14ac:dyDescent="0.3">
      <c r="A118">
        <v>2022</v>
      </c>
      <c r="B118" t="s">
        <v>277</v>
      </c>
      <c r="C118" t="s">
        <v>278</v>
      </c>
      <c r="D118">
        <v>6.6</v>
      </c>
      <c r="E118">
        <v>83</v>
      </c>
      <c r="F118">
        <v>2</v>
      </c>
      <c r="G118">
        <v>6.05</v>
      </c>
      <c r="H118">
        <v>5.91</v>
      </c>
      <c r="I118">
        <v>7.6</v>
      </c>
      <c r="J118">
        <v>6.96</v>
      </c>
      <c r="K118">
        <v>6.48</v>
      </c>
      <c r="L118">
        <f t="shared" si="1"/>
        <v>0</v>
      </c>
    </row>
    <row r="119" spans="1:12" x14ac:dyDescent="0.3">
      <c r="A119">
        <v>2022</v>
      </c>
      <c r="B119" t="s">
        <v>91</v>
      </c>
      <c r="C119" t="s">
        <v>92</v>
      </c>
      <c r="D119">
        <v>7.61</v>
      </c>
      <c r="E119">
        <v>23</v>
      </c>
      <c r="F119">
        <v>1</v>
      </c>
      <c r="G119">
        <v>6.09</v>
      </c>
      <c r="H119">
        <v>7.43</v>
      </c>
      <c r="I119">
        <v>8.74</v>
      </c>
      <c r="J119">
        <v>8.66</v>
      </c>
      <c r="K119">
        <v>7.14</v>
      </c>
      <c r="L119">
        <f t="shared" si="1"/>
        <v>1</v>
      </c>
    </row>
    <row r="120" spans="1:12" x14ac:dyDescent="0.3">
      <c r="A120">
        <v>2022</v>
      </c>
      <c r="B120" t="s">
        <v>243</v>
      </c>
      <c r="C120" t="s">
        <v>244</v>
      </c>
      <c r="D120">
        <v>5.51</v>
      </c>
      <c r="E120">
        <v>140</v>
      </c>
      <c r="F120">
        <v>4</v>
      </c>
      <c r="G120">
        <v>6.69</v>
      </c>
      <c r="H120">
        <v>4.9000000000000004</v>
      </c>
      <c r="I120">
        <v>3.45</v>
      </c>
      <c r="J120">
        <v>6.63</v>
      </c>
      <c r="K120">
        <v>5.9</v>
      </c>
      <c r="L120">
        <f t="shared" si="1"/>
        <v>0</v>
      </c>
    </row>
    <row r="121" spans="1:12" x14ac:dyDescent="0.3">
      <c r="A121">
        <v>2022</v>
      </c>
      <c r="B121" t="s">
        <v>249</v>
      </c>
      <c r="C121" t="s">
        <v>250</v>
      </c>
      <c r="D121">
        <v>7.55</v>
      </c>
      <c r="E121">
        <v>30</v>
      </c>
      <c r="F121">
        <v>1</v>
      </c>
      <c r="G121">
        <v>4.87</v>
      </c>
      <c r="H121">
        <v>8.58</v>
      </c>
      <c r="I121">
        <v>8.7100000000000009</v>
      </c>
      <c r="J121">
        <v>8.7100000000000009</v>
      </c>
      <c r="K121">
        <v>6.88</v>
      </c>
      <c r="L121">
        <f t="shared" si="1"/>
        <v>1</v>
      </c>
    </row>
    <row r="122" spans="1:12" x14ac:dyDescent="0.3">
      <c r="A122">
        <v>2022</v>
      </c>
      <c r="B122" t="s">
        <v>57</v>
      </c>
      <c r="C122" t="s">
        <v>58</v>
      </c>
      <c r="D122">
        <v>8.27</v>
      </c>
      <c r="E122">
        <v>4</v>
      </c>
      <c r="F122">
        <v>1</v>
      </c>
      <c r="G122">
        <v>7.72</v>
      </c>
      <c r="H122">
        <v>8.32</v>
      </c>
      <c r="I122">
        <v>9.5500000000000007</v>
      </c>
      <c r="J122">
        <v>8.11</v>
      </c>
      <c r="K122">
        <v>7.65</v>
      </c>
      <c r="L122">
        <f t="shared" si="1"/>
        <v>1</v>
      </c>
    </row>
    <row r="123" spans="1:12" x14ac:dyDescent="0.3">
      <c r="A123">
        <v>2022</v>
      </c>
      <c r="B123" t="s">
        <v>257</v>
      </c>
      <c r="C123" t="s">
        <v>258</v>
      </c>
      <c r="D123">
        <v>6.39</v>
      </c>
      <c r="E123">
        <v>96</v>
      </c>
      <c r="F123">
        <v>3</v>
      </c>
      <c r="G123">
        <v>5.91</v>
      </c>
      <c r="H123">
        <v>3.77</v>
      </c>
      <c r="I123">
        <v>8.94</v>
      </c>
      <c r="J123">
        <v>7.21</v>
      </c>
      <c r="K123">
        <v>6.11</v>
      </c>
      <c r="L123">
        <f t="shared" si="1"/>
        <v>0</v>
      </c>
    </row>
    <row r="124" spans="1:12" x14ac:dyDescent="0.3">
      <c r="A124">
        <v>2022</v>
      </c>
      <c r="B124" t="s">
        <v>267</v>
      </c>
      <c r="C124" t="s">
        <v>268</v>
      </c>
      <c r="D124">
        <v>6.28</v>
      </c>
      <c r="E124">
        <v>99</v>
      </c>
      <c r="F124">
        <v>3</v>
      </c>
      <c r="G124">
        <v>5.95</v>
      </c>
      <c r="H124">
        <v>5.21</v>
      </c>
      <c r="I124">
        <v>7.95</v>
      </c>
      <c r="J124">
        <v>5.66</v>
      </c>
      <c r="K124">
        <v>6.63</v>
      </c>
      <c r="L124">
        <f t="shared" si="1"/>
        <v>0</v>
      </c>
    </row>
    <row r="125" spans="1:12" x14ac:dyDescent="0.3">
      <c r="A125">
        <v>2022</v>
      </c>
      <c r="B125" t="s">
        <v>255</v>
      </c>
      <c r="C125" t="s">
        <v>256</v>
      </c>
      <c r="D125">
        <v>6.93</v>
      </c>
      <c r="E125">
        <v>68</v>
      </c>
      <c r="F125">
        <v>2</v>
      </c>
      <c r="G125">
        <v>6.8</v>
      </c>
      <c r="H125">
        <v>5.08</v>
      </c>
      <c r="I125">
        <v>8.98</v>
      </c>
      <c r="J125">
        <v>7.08</v>
      </c>
      <c r="K125">
        <v>6.68</v>
      </c>
      <c r="L125">
        <f t="shared" si="1"/>
        <v>1</v>
      </c>
    </row>
    <row r="126" spans="1:12" x14ac:dyDescent="0.3">
      <c r="A126">
        <v>2022</v>
      </c>
      <c r="B126" t="s">
        <v>259</v>
      </c>
      <c r="C126" t="s">
        <v>260</v>
      </c>
      <c r="D126">
        <v>5.97</v>
      </c>
      <c r="E126">
        <v>118</v>
      </c>
      <c r="F126">
        <v>3</v>
      </c>
      <c r="G126">
        <v>4.28</v>
      </c>
      <c r="H126">
        <v>4.5</v>
      </c>
      <c r="I126">
        <v>6.41</v>
      </c>
      <c r="J126">
        <v>7.86</v>
      </c>
      <c r="K126">
        <v>6.82</v>
      </c>
      <c r="L126">
        <f t="shared" si="1"/>
        <v>0</v>
      </c>
    </row>
    <row r="127" spans="1:12" x14ac:dyDescent="0.3">
      <c r="A127">
        <v>2022</v>
      </c>
      <c r="B127" t="s">
        <v>253</v>
      </c>
      <c r="C127" t="s">
        <v>254</v>
      </c>
      <c r="D127">
        <v>6.03</v>
      </c>
      <c r="E127">
        <v>111</v>
      </c>
      <c r="F127">
        <v>3</v>
      </c>
      <c r="G127">
        <v>6.93</v>
      </c>
      <c r="H127">
        <v>4.66</v>
      </c>
      <c r="I127">
        <v>6.3</v>
      </c>
      <c r="J127">
        <v>6.24</v>
      </c>
      <c r="K127">
        <v>6.01</v>
      </c>
      <c r="L127">
        <f t="shared" si="1"/>
        <v>0</v>
      </c>
    </row>
    <row r="128" spans="1:12" x14ac:dyDescent="0.3">
      <c r="A128">
        <v>2022</v>
      </c>
      <c r="B128" t="s">
        <v>261</v>
      </c>
      <c r="C128" t="s">
        <v>262</v>
      </c>
      <c r="D128">
        <v>6.67</v>
      </c>
      <c r="E128">
        <v>82</v>
      </c>
      <c r="F128">
        <v>2</v>
      </c>
      <c r="G128">
        <v>6.78</v>
      </c>
      <c r="H128">
        <v>5.39</v>
      </c>
      <c r="I128">
        <v>8.11</v>
      </c>
      <c r="J128">
        <v>6.88</v>
      </c>
      <c r="K128">
        <v>6.19</v>
      </c>
      <c r="L128">
        <f t="shared" si="1"/>
        <v>0</v>
      </c>
    </row>
    <row r="129" spans="1:12" x14ac:dyDescent="0.3">
      <c r="A129">
        <v>2022</v>
      </c>
      <c r="B129" t="s">
        <v>263</v>
      </c>
      <c r="C129" t="s">
        <v>264</v>
      </c>
      <c r="D129">
        <v>5.88</v>
      </c>
      <c r="E129">
        <v>124</v>
      </c>
      <c r="F129">
        <v>4</v>
      </c>
      <c r="G129">
        <v>5.32</v>
      </c>
      <c r="H129">
        <v>4.72</v>
      </c>
      <c r="I129">
        <v>7.32</v>
      </c>
      <c r="J129">
        <v>6.68</v>
      </c>
      <c r="K129">
        <v>5.38</v>
      </c>
      <c r="L129">
        <f t="shared" si="1"/>
        <v>0</v>
      </c>
    </row>
    <row r="130" spans="1:12" x14ac:dyDescent="0.3">
      <c r="A130">
        <v>2022</v>
      </c>
      <c r="B130" t="s">
        <v>265</v>
      </c>
      <c r="C130" t="s">
        <v>266</v>
      </c>
      <c r="D130">
        <v>5.57</v>
      </c>
      <c r="E130">
        <v>137</v>
      </c>
      <c r="F130">
        <v>4</v>
      </c>
      <c r="G130">
        <v>6.82</v>
      </c>
      <c r="H130">
        <v>4.74</v>
      </c>
      <c r="I130">
        <v>3.3</v>
      </c>
      <c r="J130">
        <v>7.16</v>
      </c>
      <c r="K130">
        <v>5.81</v>
      </c>
      <c r="L130">
        <f t="shared" si="1"/>
        <v>0</v>
      </c>
    </row>
    <row r="131" spans="1:12" x14ac:dyDescent="0.3">
      <c r="A131">
        <v>2022</v>
      </c>
      <c r="B131" t="s">
        <v>269</v>
      </c>
      <c r="C131" t="s">
        <v>270</v>
      </c>
      <c r="D131">
        <v>6.72</v>
      </c>
      <c r="E131">
        <v>79</v>
      </c>
      <c r="F131">
        <v>2</v>
      </c>
      <c r="G131">
        <v>7.03</v>
      </c>
      <c r="H131">
        <v>4.54</v>
      </c>
      <c r="I131">
        <v>8.89</v>
      </c>
      <c r="J131">
        <v>6.73</v>
      </c>
      <c r="K131">
        <v>6.43</v>
      </c>
      <c r="L131">
        <f t="shared" ref="L131:L136" si="2">IF(D131&gt;$Y$1,1,0)</f>
        <v>0</v>
      </c>
    </row>
    <row r="132" spans="1:12" x14ac:dyDescent="0.3">
      <c r="A132">
        <v>2022</v>
      </c>
      <c r="B132" t="s">
        <v>271</v>
      </c>
      <c r="C132" t="s">
        <v>272</v>
      </c>
      <c r="D132">
        <v>5.05</v>
      </c>
      <c r="E132">
        <v>150</v>
      </c>
      <c r="F132">
        <v>4</v>
      </c>
      <c r="G132">
        <v>5.74</v>
      </c>
      <c r="H132">
        <v>4.53</v>
      </c>
      <c r="I132">
        <v>4.68</v>
      </c>
      <c r="J132">
        <v>6.04</v>
      </c>
      <c r="K132">
        <v>4.2699999999999996</v>
      </c>
      <c r="L132">
        <f t="shared" si="2"/>
        <v>0</v>
      </c>
    </row>
    <row r="133" spans="1:12" x14ac:dyDescent="0.3">
      <c r="A133">
        <v>2022</v>
      </c>
      <c r="B133" t="s">
        <v>15</v>
      </c>
      <c r="C133" t="s">
        <v>16</v>
      </c>
      <c r="D133">
        <v>7.24</v>
      </c>
      <c r="E133">
        <v>51</v>
      </c>
      <c r="F133">
        <v>2</v>
      </c>
      <c r="G133">
        <v>5.68</v>
      </c>
      <c r="H133">
        <v>6.94</v>
      </c>
      <c r="I133">
        <v>8.34</v>
      </c>
      <c r="J133">
        <v>8.6</v>
      </c>
      <c r="K133">
        <v>6.62</v>
      </c>
      <c r="L133">
        <f t="shared" si="2"/>
        <v>1</v>
      </c>
    </row>
    <row r="134" spans="1:12" x14ac:dyDescent="0.3">
      <c r="A134">
        <v>2022</v>
      </c>
      <c r="B134" t="s">
        <v>273</v>
      </c>
      <c r="C134" t="s">
        <v>274</v>
      </c>
      <c r="D134">
        <v>7.16</v>
      </c>
      <c r="E134">
        <v>53</v>
      </c>
      <c r="F134">
        <v>2</v>
      </c>
      <c r="G134">
        <v>6.44</v>
      </c>
      <c r="H134">
        <v>6.29</v>
      </c>
      <c r="I134">
        <v>8.18</v>
      </c>
      <c r="J134">
        <v>7.99</v>
      </c>
      <c r="K134">
        <v>6.9</v>
      </c>
      <c r="L134">
        <f t="shared" si="2"/>
        <v>1</v>
      </c>
    </row>
    <row r="135" spans="1:12" x14ac:dyDescent="0.3">
      <c r="A135">
        <v>2022</v>
      </c>
      <c r="B135" t="s">
        <v>275</v>
      </c>
      <c r="C135" t="s">
        <v>276</v>
      </c>
      <c r="D135">
        <v>6.17</v>
      </c>
      <c r="E135">
        <v>104</v>
      </c>
      <c r="F135">
        <v>3</v>
      </c>
      <c r="G135">
        <v>6.28</v>
      </c>
      <c r="H135">
        <v>5.34</v>
      </c>
      <c r="I135">
        <v>6.81</v>
      </c>
      <c r="J135">
        <v>6.57</v>
      </c>
      <c r="K135">
        <v>5.85</v>
      </c>
      <c r="L135">
        <f t="shared" si="2"/>
        <v>0</v>
      </c>
    </row>
    <row r="136" spans="1:12" x14ac:dyDescent="0.3">
      <c r="A136">
        <v>2022</v>
      </c>
      <c r="B136" t="s">
        <v>279</v>
      </c>
      <c r="C136" t="s">
        <v>280</v>
      </c>
      <c r="D136">
        <v>6.25</v>
      </c>
      <c r="E136">
        <v>101</v>
      </c>
      <c r="F136">
        <v>3</v>
      </c>
      <c r="G136">
        <v>6.09</v>
      </c>
      <c r="H136">
        <v>5.14</v>
      </c>
      <c r="I136">
        <v>7.29</v>
      </c>
      <c r="J136">
        <v>7.12</v>
      </c>
      <c r="K136">
        <v>5.61</v>
      </c>
      <c r="L136">
        <f t="shared" si="2"/>
        <v>0</v>
      </c>
    </row>
  </sheetData>
  <sortState ref="A2:K136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economicdata2022-2022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2025-11-28T14:58:38Z</dcterms:created>
  <dcterms:modified xsi:type="dcterms:W3CDTF">2025-12-02T15:25:02Z</dcterms:modified>
</cp:coreProperties>
</file>